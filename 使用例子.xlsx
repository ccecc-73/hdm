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105" windowWidth="18315" windowHeight="9870"/>
  </bookViews>
  <sheets>
    <sheet name="平面" sheetId="6" r:id="rId1"/>
    <sheet name="竖曲线" sheetId="8" r:id="rId2"/>
    <sheet name="横坡" sheetId="15" r:id="rId3"/>
    <sheet name="四参数计算" sheetId="9" r:id="rId4"/>
    <sheet name="填挖面积" sheetId="13" r:id="rId5"/>
  </sheets>
  <calcPr calcId="144525"/>
</workbook>
</file>

<file path=xl/calcChain.xml><?xml version="1.0" encoding="utf-8"?>
<calcChain xmlns="http://schemas.openxmlformats.org/spreadsheetml/2006/main">
  <c r="E29" i="13" l="1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28" i="13"/>
  <c r="M6" i="13" a="1"/>
  <c r="H7" i="15"/>
  <c r="H5" i="15"/>
  <c r="H6" i="15"/>
  <c r="H4" i="15"/>
  <c r="F10" i="8"/>
  <c r="F11" i="8"/>
  <c r="F12" i="8"/>
  <c r="F13" i="8"/>
  <c r="F9" i="8"/>
  <c r="F4" i="8"/>
  <c r="F5" i="8"/>
  <c r="F6" i="8"/>
  <c r="F7" i="8"/>
  <c r="F8" i="8"/>
  <c r="F3" i="8"/>
  <c r="AE5" i="6"/>
  <c r="AE4" i="6"/>
  <c r="AC20" i="6" a="1"/>
  <c r="AC25" i="6" a="1"/>
  <c r="AC44" i="6" a="1"/>
  <c r="AC49" i="6" a="1"/>
  <c r="AC68" i="6" a="1"/>
  <c r="AC73" i="6" a="1"/>
  <c r="AC92" i="6" a="1"/>
  <c r="AC97" i="6" a="1"/>
  <c r="AC116" i="6" a="1"/>
  <c r="AC121" i="6" a="1"/>
  <c r="AC140" i="6" a="1"/>
  <c r="AC145" i="6" a="1"/>
  <c r="AC164" i="6" a="1"/>
  <c r="AC169" i="6" a="1"/>
  <c r="AC188" i="6" a="1"/>
  <c r="AC193" i="6" a="1"/>
  <c r="AC212" i="6" a="1"/>
  <c r="AC217" i="6" a="1"/>
  <c r="AC236" i="6" a="1"/>
  <c r="AC241" i="6" a="1"/>
  <c r="AC260" i="6" a="1"/>
  <c r="AC265" i="6" a="1"/>
  <c r="AC284" i="6" a="1"/>
  <c r="AC289" i="6" a="1"/>
  <c r="AC308" i="6" a="1"/>
  <c r="AC313" i="6" a="1"/>
  <c r="AC332" i="6" a="1"/>
  <c r="AC337" i="6" a="1"/>
  <c r="AC6" i="6" a="1"/>
  <c r="AC11" i="6" a="1"/>
  <c r="AC30" i="6" a="1"/>
  <c r="AC35" i="6" a="1"/>
  <c r="AC54" i="6" a="1"/>
  <c r="AC59" i="6" a="1"/>
  <c r="AC8" i="6" a="1"/>
  <c r="AC13" i="6" a="1"/>
  <c r="AC32" i="6" a="1"/>
  <c r="AC37" i="6" a="1"/>
  <c r="AC56" i="6" a="1"/>
  <c r="AC61" i="6" a="1"/>
  <c r="AC80" i="6" a="1"/>
  <c r="AC85" i="6" a="1"/>
  <c r="AC104" i="6" a="1"/>
  <c r="AC109" i="6" a="1"/>
  <c r="AC128" i="6" a="1"/>
  <c r="AC133" i="6" a="1"/>
  <c r="AC152" i="6" a="1"/>
  <c r="AC157" i="6" a="1"/>
  <c r="AC176" i="6" a="1"/>
  <c r="AC181" i="6" a="1"/>
  <c r="AC200" i="6" a="1"/>
  <c r="AC205" i="6" a="1"/>
  <c r="AC224" i="6" a="1"/>
  <c r="AC229" i="6" a="1"/>
  <c r="AC248" i="6" a="1"/>
  <c r="AC253" i="6" a="1"/>
  <c r="AC272" i="6" a="1"/>
  <c r="AC277" i="6" a="1"/>
  <c r="AC296" i="6" a="1"/>
  <c r="AC301" i="6" a="1"/>
  <c r="AC320" i="6" a="1"/>
  <c r="AC325" i="6" a="1"/>
  <c r="AC344" i="6" a="1"/>
  <c r="AC18" i="6" a="1"/>
  <c r="AC23" i="6" a="1"/>
  <c r="AC42" i="6" a="1"/>
  <c r="AC47" i="6" a="1"/>
  <c r="AC66" i="6" a="1"/>
  <c r="AC9" i="6" a="1"/>
  <c r="AC28" i="6" a="1"/>
  <c r="AC33" i="6" a="1"/>
  <c r="AC52" i="6" a="1"/>
  <c r="AC57" i="6" a="1"/>
  <c r="AC76" i="6" a="1"/>
  <c r="AC81" i="6" a="1"/>
  <c r="AC100" i="6" a="1"/>
  <c r="AC105" i="6" a="1"/>
  <c r="AC124" i="6" a="1"/>
  <c r="AC129" i="6" a="1"/>
  <c r="AC148" i="6" a="1"/>
  <c r="AC153" i="6" a="1"/>
  <c r="AC172" i="6" a="1"/>
  <c r="AC177" i="6" a="1"/>
  <c r="AC196" i="6" a="1"/>
  <c r="AC201" i="6" a="1"/>
  <c r="AC220" i="6" a="1"/>
  <c r="AC225" i="6" a="1"/>
  <c r="AC244" i="6" a="1"/>
  <c r="AC249" i="6" a="1"/>
  <c r="AC268" i="6" a="1"/>
  <c r="AC273" i="6" a="1"/>
  <c r="AC292" i="6" a="1"/>
  <c r="AC297" i="6" a="1"/>
  <c r="AC316" i="6" a="1"/>
  <c r="AC321" i="6" a="1"/>
  <c r="AC340" i="6" a="1"/>
  <c r="AC345" i="6" a="1"/>
  <c r="AC349" i="6" a="1"/>
  <c r="AC353" i="6" a="1"/>
  <c r="AC357" i="6" a="1"/>
  <c r="AC361" i="6" a="1"/>
  <c r="AC365" i="6" a="1"/>
  <c r="AC369" i="6" a="1"/>
  <c r="AC373" i="6" a="1"/>
  <c r="AC377" i="6" a="1"/>
  <c r="AC381" i="6" a="1"/>
  <c r="AC385" i="6" a="1"/>
  <c r="AC389" i="6" a="1"/>
  <c r="AC393" i="6" a="1"/>
  <c r="AC14" i="6" a="1"/>
  <c r="AC19" i="6" a="1"/>
  <c r="AC38" i="6" a="1"/>
  <c r="AC43" i="6" a="1"/>
  <c r="AC62" i="6" a="1"/>
  <c r="AC67" i="6" a="1"/>
  <c r="AC86" i="6" a="1"/>
  <c r="AC91" i="6" a="1"/>
  <c r="AC110" i="6" a="1"/>
  <c r="AC115" i="6" a="1"/>
  <c r="AC134" i="6" a="1"/>
  <c r="AC139" i="6" a="1"/>
  <c r="AC158" i="6" a="1"/>
  <c r="AC163" i="6" a="1"/>
  <c r="AC182" i="6" a="1"/>
  <c r="AC187" i="6" a="1"/>
  <c r="AC206" i="6" a="1"/>
  <c r="AC211" i="6" a="1"/>
  <c r="AC230" i="6" a="1"/>
  <c r="AC235" i="6" a="1"/>
  <c r="AC254" i="6" a="1"/>
  <c r="AC259" i="6" a="1"/>
  <c r="AC278" i="6" a="1"/>
  <c r="AC283" i="6" a="1"/>
  <c r="AC302" i="6" a="1"/>
  <c r="AC307" i="6" a="1"/>
  <c r="AC326" i="6" a="1"/>
  <c r="AC331" i="6" a="1"/>
  <c r="AC12" i="6" a="1"/>
  <c r="AC41" i="6" a="1"/>
  <c r="AC60" i="6" a="1"/>
  <c r="AC69" i="6" a="1"/>
  <c r="AC90" i="6" a="1"/>
  <c r="AC112" i="6" a="1"/>
  <c r="AC119" i="6" a="1"/>
  <c r="AC141" i="6" a="1"/>
  <c r="AC162" i="6" a="1"/>
  <c r="AC184" i="6" a="1"/>
  <c r="AC191" i="6" a="1"/>
  <c r="AC213" i="6" a="1"/>
  <c r="AC234" i="6" a="1"/>
  <c r="AC256" i="6" a="1"/>
  <c r="AC263" i="6" a="1"/>
  <c r="AC285" i="6" a="1"/>
  <c r="AC306" i="6" a="1"/>
  <c r="AC328" i="6" a="1"/>
  <c r="AC335" i="6" a="1"/>
  <c r="AC355" i="6" a="1"/>
  <c r="AC367" i="6" a="1"/>
  <c r="AC379" i="6" a="1"/>
  <c r="AC391" i="6" a="1"/>
  <c r="AC24" i="6" a="1"/>
  <c r="AC53" i="6" a="1"/>
  <c r="AC106" i="6" a="1"/>
  <c r="AC156" i="6" a="1"/>
  <c r="AC185" i="6" a="1"/>
  <c r="AC228" i="6" a="1"/>
  <c r="AC250" i="6" a="1"/>
  <c r="AC279" i="6" a="1"/>
  <c r="AC329" i="6" a="1"/>
  <c r="AC362" i="6" a="1"/>
  <c r="AC386" i="6" a="1"/>
  <c r="AC15" i="6" a="1"/>
  <c r="AC63" i="6" a="1"/>
  <c r="AC78" i="6" a="1"/>
  <c r="AC99" i="6" a="1"/>
  <c r="AC142" i="6" a="1"/>
  <c r="AC171" i="6" a="1"/>
  <c r="AC214" i="6" a="1"/>
  <c r="AC243" i="6" a="1"/>
  <c r="AC22" i="6" a="1"/>
  <c r="AC51" i="6" a="1"/>
  <c r="AC77" i="6" a="1"/>
  <c r="AC98" i="6" a="1"/>
  <c r="AC120" i="6" a="1"/>
  <c r="AC127" i="6" a="1"/>
  <c r="AC149" i="6" a="1"/>
  <c r="AC170" i="6" a="1"/>
  <c r="AC192" i="6" a="1"/>
  <c r="AC199" i="6" a="1"/>
  <c r="AC221" i="6" a="1"/>
  <c r="AC242" i="6" a="1"/>
  <c r="AC264" i="6" a="1"/>
  <c r="AC271" i="6" a="1"/>
  <c r="AC293" i="6" a="1"/>
  <c r="AC314" i="6" a="1"/>
  <c r="AC336" i="6" a="1"/>
  <c r="AC343" i="6" a="1"/>
  <c r="AC5" i="6" a="1"/>
  <c r="AC84" i="6" a="1"/>
  <c r="AC113" i="6" a="1"/>
  <c r="AC135" i="6" a="1"/>
  <c r="AC178" i="6" a="1"/>
  <c r="AC207" i="6" a="1"/>
  <c r="AC257" i="6" a="1"/>
  <c r="AC300" i="6" a="1"/>
  <c r="AC322" i="6" a="1"/>
  <c r="AC350" i="6" a="1"/>
  <c r="AC374" i="6" a="1"/>
  <c r="AC34" i="6" a="1"/>
  <c r="AC70" i="6" a="1"/>
  <c r="AC107" i="6" a="1"/>
  <c r="AC150" i="6" a="1"/>
  <c r="AC179" i="6" a="1"/>
  <c r="AC222" i="6" a="1"/>
  <c r="AC251" i="6" a="1"/>
  <c r="AC108" i="6" a="1"/>
  <c r="AC270" i="6" a="1"/>
  <c r="AC299" i="6" a="1"/>
  <c r="AC338" i="6" a="1"/>
  <c r="AC371" i="6" a="1"/>
  <c r="AC88" i="6" a="1"/>
  <c r="AC143" i="6" a="1"/>
  <c r="AC165" i="6" a="1"/>
  <c r="AC186" i="6" a="1"/>
  <c r="AC208" i="6" a="1"/>
  <c r="AC239" i="6" a="1"/>
  <c r="AC261" i="6" a="1"/>
  <c r="AC281" i="6" a="1"/>
  <c r="AC319" i="6" a="1"/>
  <c r="AC380" i="6" a="1"/>
  <c r="AC39" i="6" a="1"/>
  <c r="AC282" i="6" a="1"/>
  <c r="AC155" i="6" a="1"/>
  <c r="AC294" i="6" a="1"/>
  <c r="AC323" i="6" a="1"/>
  <c r="AC16" i="6" a="1"/>
  <c r="AC29" i="6" a="1"/>
  <c r="AC45" i="6" a="1"/>
  <c r="AC71" i="6" a="1"/>
  <c r="AC93" i="6" a="1"/>
  <c r="AC114" i="6" a="1"/>
  <c r="AC136" i="6" a="1"/>
  <c r="AC167" i="6" a="1"/>
  <c r="AC189" i="6" a="1"/>
  <c r="AC210" i="6" a="1"/>
  <c r="AC232" i="6" a="1"/>
  <c r="AC275" i="6" a="1"/>
  <c r="AC351" i="6" a="1"/>
  <c r="AC366" i="6" a="1"/>
  <c r="AC375" i="6" a="1"/>
  <c r="AC390" i="6" a="1"/>
  <c r="AC58" i="6" a="1"/>
  <c r="AC72" i="6" a="1"/>
  <c r="AC103" i="6" a="1"/>
  <c r="AC125" i="6" a="1"/>
  <c r="AC146" i="6" a="1"/>
  <c r="AC168" i="6" a="1"/>
  <c r="AC223" i="6" a="1"/>
  <c r="AC245" i="6" a="1"/>
  <c r="AC266" i="6" a="1"/>
  <c r="AC295" i="6" a="1"/>
  <c r="AC304" i="6" a="1"/>
  <c r="AC333" i="6" a="1"/>
  <c r="AC342" i="6" a="1"/>
  <c r="AC359" i="6" a="1"/>
  <c r="AC383" i="6" a="1"/>
  <c r="AC252" i="6" a="1"/>
  <c r="AC311" i="6" a="1"/>
  <c r="AC372" i="6" a="1"/>
  <c r="AC166" i="6" a="1"/>
  <c r="AC262" i="6" a="1"/>
  <c r="AC312" i="6" a="1"/>
  <c r="AC358" i="6" a="1"/>
  <c r="AC17" i="6" a="1"/>
  <c r="AC82" i="6" a="1"/>
  <c r="AC137" i="6" a="1"/>
  <c r="AC159" i="6" a="1"/>
  <c r="AC180" i="6" a="1"/>
  <c r="AC202" i="6" a="1"/>
  <c r="AC233" i="6" a="1"/>
  <c r="AC255" i="6" a="1"/>
  <c r="AC286" i="6" a="1"/>
  <c r="AC315" i="6" a="1"/>
  <c r="AC324" i="6" a="1"/>
  <c r="AC368" i="6" a="1"/>
  <c r="AC392" i="6" a="1"/>
  <c r="AC95" i="6" a="1"/>
  <c r="AC138" i="6" a="1"/>
  <c r="AC237" i="6" a="1"/>
  <c r="AC258" i="6" a="1"/>
  <c r="AC334" i="6" a="1"/>
  <c r="AC384" i="6" a="1"/>
  <c r="AC64" i="6" a="1"/>
  <c r="AC96" i="6" a="1"/>
  <c r="AC151" i="6" a="1"/>
  <c r="AC194" i="6" a="1"/>
  <c r="AC269" i="6" a="1"/>
  <c r="AC346" i="6" a="1"/>
  <c r="AC21" i="6" a="1"/>
  <c r="AC87" i="6" a="1"/>
  <c r="AC130" i="6" a="1"/>
  <c r="AC183" i="6" a="1"/>
  <c r="AC280" i="6" a="1"/>
  <c r="AC309" i="6" a="1"/>
  <c r="AC327" i="6" a="1"/>
  <c r="AC363" i="6" a="1"/>
  <c r="AC387" i="6" a="1"/>
  <c r="AC50" i="6" a="1"/>
  <c r="AC75" i="6" a="1"/>
  <c r="AC131" i="6" a="1"/>
  <c r="AC174" i="6" a="1"/>
  <c r="AC238" i="6" a="1"/>
  <c r="AC347" i="6" a="1"/>
  <c r="AC290" i="6" a="1"/>
  <c r="AC356" i="6" a="1"/>
  <c r="AC26" i="6" a="1"/>
  <c r="AC79" i="6" a="1"/>
  <c r="AC101" i="6" a="1"/>
  <c r="AC144" i="6" a="1"/>
  <c r="AC197" i="6" a="1"/>
  <c r="AC240" i="6" a="1"/>
  <c r="AC310" i="6" a="1"/>
  <c r="AC339" i="6" a="1"/>
  <c r="AC40" i="6" a="1"/>
  <c r="AC132" i="6" a="1"/>
  <c r="AC209" i="6" a="1"/>
  <c r="AC27" i="6" a="1"/>
  <c r="AC102" i="6" a="1"/>
  <c r="AC198" i="6" a="1"/>
  <c r="AC274" i="6" a="1"/>
  <c r="AC31" i="6" a="1"/>
  <c r="AC46" i="6" a="1"/>
  <c r="AC83" i="6" a="1"/>
  <c r="AC94" i="6" a="1"/>
  <c r="AC126" i="6" a="1"/>
  <c r="AC147" i="6" a="1"/>
  <c r="AC190" i="6" a="1"/>
  <c r="AC203" i="6" a="1"/>
  <c r="AC246" i="6" a="1"/>
  <c r="AC267" i="6" a="1"/>
  <c r="AC276" i="6" a="1"/>
  <c r="AC287" i="6" a="1"/>
  <c r="AC305" i="6" a="1"/>
  <c r="AC352" i="6" a="1"/>
  <c r="AC376" i="6" a="1"/>
  <c r="AC48" i="6" a="1"/>
  <c r="AC117" i="6" a="1"/>
  <c r="AC160" i="6" a="1"/>
  <c r="AC215" i="6" a="1"/>
  <c r="AC288" i="6" a="1"/>
  <c r="AC317" i="6" a="1"/>
  <c r="AC360" i="6" a="1"/>
  <c r="AC7" i="6" a="1"/>
  <c r="AC74" i="6" a="1"/>
  <c r="AC173" i="6" a="1"/>
  <c r="AC216" i="6" a="1"/>
  <c r="AC247" i="6" a="1"/>
  <c r="AC370" i="6" a="1"/>
  <c r="AC36" i="6" a="1"/>
  <c r="AC161" i="6" a="1"/>
  <c r="AC204" i="6" a="1"/>
  <c r="AC226" i="6" a="1"/>
  <c r="AC298" i="6" a="1"/>
  <c r="AC318" i="6" a="1"/>
  <c r="AC354" i="6" a="1"/>
  <c r="AC378" i="6" a="1"/>
  <c r="AC65" i="6" a="1"/>
  <c r="AC118" i="6" a="1"/>
  <c r="AC195" i="6" a="1"/>
  <c r="AC227" i="6" a="1"/>
  <c r="AC10" i="6" a="1"/>
  <c r="AC55" i="6" a="1"/>
  <c r="AC122" i="6" a="1"/>
  <c r="AC175" i="6" a="1"/>
  <c r="AC218" i="6" a="1"/>
  <c r="AC330" i="6" a="1"/>
  <c r="AC364" i="6" a="1"/>
  <c r="AC388" i="6" a="1"/>
  <c r="AC89" i="6" a="1"/>
  <c r="AC111" i="6" a="1"/>
  <c r="AC154" i="6" a="1"/>
  <c r="AC231" i="6" a="1"/>
  <c r="AC291" i="6" a="1"/>
  <c r="AC348" i="6" a="1"/>
  <c r="AC123" i="6" a="1"/>
  <c r="AC219" i="6" a="1"/>
  <c r="AC303" i="6" a="1"/>
  <c r="AC341" i="6" a="1"/>
  <c r="AC382" i="6" a="1"/>
  <c r="AC4" i="6" a="1"/>
  <c r="S5" i="6" a="1"/>
  <c r="S18" i="6" a="1"/>
  <c r="S28" i="6" a="1"/>
  <c r="S41" i="6" a="1"/>
  <c r="S54" i="6" a="1"/>
  <c r="S64" i="6" a="1"/>
  <c r="S77" i="6" a="1"/>
  <c r="S90" i="6" a="1"/>
  <c r="S100" i="6" a="1"/>
  <c r="S113" i="6" a="1"/>
  <c r="S126" i="6" a="1"/>
  <c r="S136" i="6" a="1"/>
  <c r="S149" i="6" a="1"/>
  <c r="S162" i="6" a="1"/>
  <c r="S172" i="6" a="1"/>
  <c r="S185" i="6" a="1"/>
  <c r="S198" i="6" a="1"/>
  <c r="S208" i="6" a="1"/>
  <c r="S221" i="6" a="1"/>
  <c r="S234" i="6" a="1"/>
  <c r="S244" i="6" a="1"/>
  <c r="S257" i="6" a="1"/>
  <c r="S6" i="6" a="1"/>
  <c r="S16" i="6" a="1"/>
  <c r="S29" i="6" a="1"/>
  <c r="S42" i="6" a="1"/>
  <c r="S52" i="6" a="1"/>
  <c r="S65" i="6" a="1"/>
  <c r="S78" i="6" a="1"/>
  <c r="S88" i="6" a="1"/>
  <c r="S101" i="6" a="1"/>
  <c r="S114" i="6" a="1"/>
  <c r="S124" i="6" a="1"/>
  <c r="S10" i="6" a="1"/>
  <c r="S23" i="6" a="1"/>
  <c r="S36" i="6" a="1"/>
  <c r="S46" i="6" a="1"/>
  <c r="S59" i="6" a="1"/>
  <c r="S72" i="6" a="1"/>
  <c r="S82" i="6" a="1"/>
  <c r="S95" i="6" a="1"/>
  <c r="S108" i="6" a="1"/>
  <c r="S118" i="6" a="1"/>
  <c r="S131" i="6" a="1"/>
  <c r="S144" i="6" a="1"/>
  <c r="S154" i="6" a="1"/>
  <c r="S167" i="6" a="1"/>
  <c r="S180" i="6" a="1"/>
  <c r="S190" i="6" a="1"/>
  <c r="S203" i="6" a="1"/>
  <c r="S216" i="6" a="1"/>
  <c r="S226" i="6" a="1"/>
  <c r="S239" i="6" a="1"/>
  <c r="S252" i="6" a="1"/>
  <c r="S7" i="6" a="1"/>
  <c r="S20" i="6" a="1"/>
  <c r="S33" i="6" a="1"/>
  <c r="S43" i="6" a="1"/>
  <c r="S56" i="6" a="1"/>
  <c r="S69" i="6" a="1"/>
  <c r="S79" i="6" a="1"/>
  <c r="S92" i="6" a="1"/>
  <c r="S105" i="6" a="1"/>
  <c r="S115" i="6" a="1"/>
  <c r="S128" i="6" a="1"/>
  <c r="S141" i="6" a="1"/>
  <c r="S151" i="6" a="1"/>
  <c r="S164" i="6" a="1"/>
  <c r="S177" i="6" a="1"/>
  <c r="S187" i="6" a="1"/>
  <c r="S200" i="6" a="1"/>
  <c r="S213" i="6" a="1"/>
  <c r="S223" i="6" a="1"/>
  <c r="S236" i="6" a="1"/>
  <c r="S249" i="6" a="1"/>
  <c r="S259" i="6" a="1"/>
  <c r="S262" i="6" a="1"/>
  <c r="S265" i="6" a="1"/>
  <c r="S268" i="6" a="1"/>
  <c r="S271" i="6" a="1"/>
  <c r="S274" i="6" a="1"/>
  <c r="S277" i="6" a="1"/>
  <c r="S280" i="6" a="1"/>
  <c r="S283" i="6" a="1"/>
  <c r="S286" i="6" a="1"/>
  <c r="S289" i="6" a="1"/>
  <c r="S292" i="6" a="1"/>
  <c r="S295" i="6" a="1"/>
  <c r="S298" i="6" a="1"/>
  <c r="S301" i="6" a="1"/>
  <c r="S304" i="6" a="1"/>
  <c r="S307" i="6" a="1"/>
  <c r="S310" i="6" a="1"/>
  <c r="S313" i="6" a="1"/>
  <c r="S316" i="6" a="1"/>
  <c r="S319" i="6" a="1"/>
  <c r="S322" i="6" a="1"/>
  <c r="S14" i="6" a="1"/>
  <c r="S48" i="6" a="1"/>
  <c r="S58" i="6" a="1"/>
  <c r="S63" i="6" a="1"/>
  <c r="S73" i="6" a="1"/>
  <c r="S107" i="6" a="1"/>
  <c r="S122" i="6" a="1"/>
  <c r="S193" i="6" a="1"/>
  <c r="S202" i="6" a="1"/>
  <c r="S206" i="6" a="1"/>
  <c r="S215" i="6" a="1"/>
  <c r="S219" i="6" a="1"/>
  <c r="S228" i="6" a="1"/>
  <c r="S15" i="6" a="1"/>
  <c r="S25" i="6" a="1"/>
  <c r="S30" i="6" a="1"/>
  <c r="S40" i="6" a="1"/>
  <c r="S74" i="6" a="1"/>
  <c r="S89" i="6" a="1"/>
  <c r="S123" i="6" a="1"/>
  <c r="S133" i="6" a="1"/>
  <c r="S142" i="6" a="1"/>
  <c r="S155" i="6" a="1"/>
  <c r="S168" i="6" a="1"/>
  <c r="S229" i="6" a="1"/>
  <c r="S238" i="6" a="1"/>
  <c r="S242" i="6" a="1"/>
  <c r="S251" i="6" a="1"/>
  <c r="S255" i="6" a="1"/>
  <c r="S326" i="6" a="1"/>
  <c r="S339" i="6" a="1"/>
  <c r="S21" i="6" a="1"/>
  <c r="S26" i="6" a="1"/>
  <c r="S31" i="6" a="1"/>
  <c r="S17" i="6" a="1"/>
  <c r="S51" i="6" a="1"/>
  <c r="S61" i="6" a="1"/>
  <c r="S66" i="6" a="1"/>
  <c r="S76" i="6" a="1"/>
  <c r="S110" i="6" a="1"/>
  <c r="S125" i="6" a="1"/>
  <c r="S139" i="6" a="1"/>
  <c r="S148" i="6" a="1"/>
  <c r="S152" i="6" a="1"/>
  <c r="S161" i="6" a="1"/>
  <c r="S165" i="6" a="1"/>
  <c r="S174" i="6" a="1"/>
  <c r="S235" i="6" a="1"/>
  <c r="S248" i="6" a="1"/>
  <c r="S261" i="6" a="1"/>
  <c r="S269" i="6" a="1"/>
  <c r="S273" i="6" a="1"/>
  <c r="S327" i="6" a="1"/>
  <c r="S337" i="6" a="1"/>
  <c r="S32" i="6" a="1"/>
  <c r="S47" i="6" a="1"/>
  <c r="S81" i="6" a="1"/>
  <c r="S91" i="6" a="1"/>
  <c r="S96" i="6" a="1"/>
  <c r="S106" i="6" a="1"/>
  <c r="S157" i="6" a="1"/>
  <c r="S166" i="6" a="1"/>
  <c r="S170" i="6" a="1"/>
  <c r="S179" i="6" a="1"/>
  <c r="S183" i="6" a="1"/>
  <c r="S192" i="6" a="1"/>
  <c r="S214" i="6" a="1"/>
  <c r="S227" i="6" a="1"/>
  <c r="S240" i="6" a="1"/>
  <c r="S331" i="6" a="1"/>
  <c r="S344" i="6" a="1"/>
  <c r="S8" i="6" a="1"/>
  <c r="S13" i="6" a="1"/>
  <c r="S57" i="6" a="1"/>
  <c r="S62" i="6" a="1"/>
  <c r="S67" i="6" a="1"/>
  <c r="S111" i="6" a="1"/>
  <c r="S116" i="6" a="1"/>
  <c r="S121" i="6" a="1"/>
  <c r="S140" i="6" a="1"/>
  <c r="S153" i="6" a="1"/>
  <c r="S175" i="6" a="1"/>
  <c r="S184" i="6" a="1"/>
  <c r="S188" i="6" a="1"/>
  <c r="S197" i="6" a="1"/>
  <c r="S201" i="6" a="1"/>
  <c r="S210" i="6" a="1"/>
  <c r="S266" i="6" a="1"/>
  <c r="S270" i="6" a="1"/>
  <c r="S278" i="6" a="1"/>
  <c r="S285" i="6" a="1"/>
  <c r="S296" i="6" a="1"/>
  <c r="S303" i="6" a="1"/>
  <c r="S314" i="6" a="1"/>
  <c r="S321" i="6" a="1"/>
  <c r="S328" i="6" a="1"/>
  <c r="S341" i="6" a="1"/>
  <c r="S45" i="6" a="1"/>
  <c r="S55" i="6" a="1"/>
  <c r="S99" i="6" a="1"/>
  <c r="S147" i="6" a="1"/>
  <c r="S163" i="6" a="1"/>
  <c r="S222" i="6" a="1"/>
  <c r="S230" i="6" a="1"/>
  <c r="S243" i="6" a="1"/>
  <c r="S250" i="6" a="1"/>
  <c r="S318" i="6" a="1"/>
  <c r="S333" i="6" a="1"/>
  <c r="S343" i="6" a="1"/>
  <c r="S355" i="6" a="1"/>
  <c r="S373" i="6" a="1"/>
  <c r="S27" i="6" a="1"/>
  <c r="S37" i="6" a="1"/>
  <c r="S83" i="6" a="1"/>
  <c r="S171" i="6" a="1"/>
  <c r="S178" i="6" a="1"/>
  <c r="S237" i="6" a="1"/>
  <c r="S263" i="6" a="1"/>
  <c r="S275" i="6" a="1"/>
  <c r="S39" i="6" a="1"/>
  <c r="S49" i="6" a="1"/>
  <c r="S68" i="6" a="1"/>
  <c r="S93" i="6" a="1"/>
  <c r="S102" i="6" a="1"/>
  <c r="S127" i="6" a="1"/>
  <c r="S135" i="6" a="1"/>
  <c r="S150" i="6" a="1"/>
  <c r="S158" i="6" a="1"/>
  <c r="S195" i="6" a="1"/>
  <c r="S225" i="6" a="1"/>
  <c r="S282" i="6" a="1"/>
  <c r="S293" i="6" a="1"/>
  <c r="S335" i="6" a="1"/>
  <c r="S367" i="6" a="1"/>
  <c r="S50" i="6" a="1"/>
  <c r="S85" i="6" a="1"/>
  <c r="S94" i="6" a="1"/>
  <c r="S119" i="6" a="1"/>
  <c r="S143" i="6" a="1"/>
  <c r="S173" i="6" a="1"/>
  <c r="S181" i="6" a="1"/>
  <c r="S211" i="6" a="1"/>
  <c r="S218" i="6" a="1"/>
  <c r="S233" i="6" a="1"/>
  <c r="S246" i="6" a="1"/>
  <c r="S11" i="6" a="1"/>
  <c r="S60" i="6" a="1"/>
  <c r="S86" i="6" a="1"/>
  <c r="S103" i="6" a="1"/>
  <c r="S112" i="6" a="1"/>
  <c r="S159" i="6" a="1"/>
  <c r="S189" i="6" a="1"/>
  <c r="S196" i="6" a="1"/>
  <c r="S253" i="6" a="1"/>
  <c r="S288" i="6" a="1"/>
  <c r="S299" i="6" a="1"/>
  <c r="S315" i="6" a="1"/>
  <c r="S345" i="6" a="1"/>
  <c r="S364" i="6" a="1"/>
  <c r="S388" i="6" a="1"/>
  <c r="S12" i="6" a="1"/>
  <c r="S22" i="6" a="1"/>
  <c r="S70" i="6" a="1"/>
  <c r="S87" i="6" a="1"/>
  <c r="S120" i="6" a="1"/>
  <c r="S137" i="6" a="1"/>
  <c r="S145" i="6" a="1"/>
  <c r="S182" i="6" a="1"/>
  <c r="S204" i="6" a="1"/>
  <c r="S212" i="6" a="1"/>
  <c r="S220" i="6" a="1"/>
  <c r="S241" i="6" a="1"/>
  <c r="S247" i="6" a="1"/>
  <c r="S254" i="6" a="1"/>
  <c r="S260" i="6" a="1"/>
  <c r="S272" i="6" a="1"/>
  <c r="S294" i="6" a="1"/>
  <c r="S305" i="6" a="1"/>
  <c r="S336" i="6" a="1"/>
  <c r="S357" i="6" a="1"/>
  <c r="S368" i="6" a="1"/>
  <c r="S375" i="6" a="1"/>
  <c r="S382" i="6" a="1"/>
  <c r="S385" i="6" a="1"/>
  <c r="S391" i="6" a="1"/>
  <c r="S117" i="6" a="1"/>
  <c r="S194" i="6" a="1"/>
  <c r="S224" i="6" a="1"/>
  <c r="S323" i="6" a="1"/>
  <c r="S330" i="6" a="1"/>
  <c r="S338" i="6" a="1"/>
  <c r="S351" i="6" a="1"/>
  <c r="S362" i="6" a="1"/>
  <c r="S378" i="6" a="1"/>
  <c r="S383" i="6" a="1"/>
  <c r="S392" i="6" a="1"/>
  <c r="S291" i="6" a="1"/>
  <c r="S300" i="6" a="1"/>
  <c r="S346" i="6" a="1"/>
  <c r="S53" i="6" a="1"/>
  <c r="S104" i="6" a="1"/>
  <c r="S138" i="6" a="1"/>
  <c r="S308" i="6" a="1"/>
  <c r="S324" i="6" a="1"/>
  <c r="S352" i="6" a="1"/>
  <c r="S34" i="6" a="1"/>
  <c r="S317" i="6" a="1"/>
  <c r="S325" i="6" a="1"/>
  <c r="S358" i="6" a="1"/>
  <c r="S363" i="6" a="1"/>
  <c r="S374" i="6" a="1"/>
  <c r="S384" i="6" a="1"/>
  <c r="S393" i="6" a="1"/>
  <c r="S361" i="6" a="1"/>
  <c r="S377" i="6" a="1"/>
  <c r="S44" i="6" a="1"/>
  <c r="S80" i="6" a="1"/>
  <c r="S297" i="6" a="1"/>
  <c r="S329" i="6" a="1"/>
  <c r="S132" i="6" a="1"/>
  <c r="S290" i="6" a="1"/>
  <c r="S9" i="6" a="1"/>
  <c r="S84" i="6" a="1"/>
  <c r="S134" i="6" a="1"/>
  <c r="S209" i="6" a="1"/>
  <c r="S264" i="6" a="1"/>
  <c r="S379" i="6" a="1"/>
  <c r="S284" i="6" a="1"/>
  <c r="S332" i="6" a="1"/>
  <c r="S71" i="6" a="1"/>
  <c r="S276" i="6" a="1"/>
  <c r="S356" i="6" a="1"/>
  <c r="S169" i="6" a="1"/>
  <c r="S199" i="6" a="1"/>
  <c r="S267" i="6" a="1"/>
  <c r="S309" i="6" a="1"/>
  <c r="S340" i="6" a="1"/>
  <c r="S347" i="6" a="1"/>
  <c r="S353" i="6" a="1"/>
  <c r="S369" i="6" a="1"/>
  <c r="S380" i="6" a="1"/>
  <c r="S389" i="6" a="1"/>
  <c r="S35" i="6" a="1"/>
  <c r="S256" i="6" a="1"/>
  <c r="S302" i="6" a="1"/>
  <c r="S311" i="6" a="1"/>
  <c r="S359" i="6" a="1"/>
  <c r="S38" i="6" a="1"/>
  <c r="S109" i="6" a="1"/>
  <c r="S156" i="6" a="1"/>
  <c r="S186" i="6" a="1"/>
  <c r="S231" i="6" a="1"/>
  <c r="S334" i="6" a="1"/>
  <c r="S348" i="6" a="1"/>
  <c r="S354" i="6" a="1"/>
  <c r="S365" i="6" a="1"/>
  <c r="S370" i="6" a="1"/>
  <c r="S176" i="6" a="1"/>
  <c r="S366" i="6" a="1"/>
  <c r="S191" i="6" a="1"/>
  <c r="S281" i="6" a="1"/>
  <c r="S372" i="6" a="1"/>
  <c r="S98" i="6" a="1"/>
  <c r="S207" i="6" a="1"/>
  <c r="S387" i="6" a="1"/>
  <c r="S19" i="6" a="1"/>
  <c r="S75" i="6" a="1"/>
  <c r="S217" i="6" a="1"/>
  <c r="S232" i="6" a="1"/>
  <c r="S245" i="6" a="1"/>
  <c r="S258" i="6" a="1"/>
  <c r="S279" i="6" a="1"/>
  <c r="S287" i="6" a="1"/>
  <c r="S342" i="6" a="1"/>
  <c r="S376" i="6" a="1"/>
  <c r="S381" i="6" a="1"/>
  <c r="S390" i="6" a="1"/>
  <c r="S4" i="6" a="1"/>
  <c r="S129" i="6" a="1"/>
  <c r="S160" i="6" a="1"/>
  <c r="S205" i="6" a="1"/>
  <c r="S312" i="6" a="1"/>
  <c r="S320" i="6" a="1"/>
  <c r="S349" i="6" a="1"/>
  <c r="S360" i="6" a="1"/>
  <c r="S371" i="6" a="1"/>
  <c r="S386" i="6" a="1"/>
  <c r="S24" i="6" a="1"/>
  <c r="S97" i="6" a="1"/>
  <c r="S130" i="6" a="1"/>
  <c r="S146" i="6" a="1"/>
  <c r="S350" i="6" a="1"/>
  <c r="S306" i="6" a="1"/>
  <c r="X3" i="6"/>
  <c r="W3" i="6"/>
  <c r="V3" i="6"/>
  <c r="S3" i="6" a="1"/>
  <c r="G3" i="6" a="1"/>
  <c r="AC382" i="6" l="1"/>
  <c r="AD382" i="6"/>
  <c r="AD341" i="6"/>
  <c r="AC341" i="6"/>
  <c r="AC303" i="6"/>
  <c r="AD303" i="6"/>
  <c r="AC219" i="6"/>
  <c r="AD219" i="6"/>
  <c r="AC123" i="6"/>
  <c r="AD123" i="6"/>
  <c r="AC348" i="6"/>
  <c r="AD348" i="6"/>
  <c r="AC291" i="6"/>
  <c r="AD291" i="6"/>
  <c r="AC231" i="6"/>
  <c r="AD231" i="6"/>
  <c r="AD154" i="6"/>
  <c r="AC154" i="6"/>
  <c r="AC111" i="6"/>
  <c r="AD111" i="6"/>
  <c r="AD89" i="6"/>
  <c r="AC89" i="6"/>
  <c r="AC388" i="6"/>
  <c r="AD388" i="6"/>
  <c r="AC364" i="6"/>
  <c r="AD364" i="6"/>
  <c r="AD330" i="6"/>
  <c r="AC330" i="6"/>
  <c r="AD218" i="6"/>
  <c r="AC218" i="6"/>
  <c r="AC175" i="6"/>
  <c r="AD175" i="6"/>
  <c r="AD122" i="6"/>
  <c r="AC122" i="6"/>
  <c r="AD55" i="6"/>
  <c r="AC55" i="6"/>
  <c r="AD10" i="6"/>
  <c r="AC10" i="6"/>
  <c r="AC227" i="6"/>
  <c r="AD227" i="6"/>
  <c r="AC195" i="6"/>
  <c r="AD195" i="6"/>
  <c r="AD118" i="6"/>
  <c r="AC118" i="6"/>
  <c r="AD65" i="6"/>
  <c r="AC65" i="6"/>
  <c r="AC378" i="6"/>
  <c r="AD378" i="6"/>
  <c r="AC354" i="6"/>
  <c r="AD354" i="6"/>
  <c r="AD318" i="6"/>
  <c r="AC318" i="6"/>
  <c r="AD298" i="6"/>
  <c r="AC298" i="6"/>
  <c r="AD226" i="6"/>
  <c r="AC226" i="6"/>
  <c r="AD204" i="6"/>
  <c r="AC204" i="6"/>
  <c r="AD161" i="6"/>
  <c r="AC161" i="6"/>
  <c r="AD36" i="6"/>
  <c r="AC36" i="6"/>
  <c r="AC370" i="6"/>
  <c r="AD370" i="6"/>
  <c r="AD247" i="6"/>
  <c r="AC247" i="6"/>
  <c r="AD216" i="6"/>
  <c r="AC216" i="6"/>
  <c r="AD173" i="6"/>
  <c r="AC173" i="6"/>
  <c r="AD74" i="6"/>
  <c r="AC74" i="6"/>
  <c r="AC7" i="6"/>
  <c r="AD7" i="6"/>
  <c r="AC360" i="6"/>
  <c r="AD360" i="6"/>
  <c r="AD317" i="6"/>
  <c r="AC317" i="6"/>
  <c r="AD288" i="6"/>
  <c r="AC288" i="6"/>
  <c r="AC215" i="6"/>
  <c r="AD215" i="6"/>
  <c r="AD160" i="6"/>
  <c r="AC160" i="6"/>
  <c r="AC117" i="6"/>
  <c r="AD117" i="6"/>
  <c r="AD48" i="6"/>
  <c r="AC48" i="6"/>
  <c r="AC376" i="6"/>
  <c r="AD376" i="6"/>
  <c r="AC352" i="6"/>
  <c r="AD352" i="6"/>
  <c r="AD305" i="6"/>
  <c r="AC305" i="6"/>
  <c r="AC287" i="6"/>
  <c r="AD287" i="6"/>
  <c r="AD276" i="6"/>
  <c r="AC276" i="6"/>
  <c r="AC267" i="6"/>
  <c r="AD267" i="6"/>
  <c r="AD246" i="6"/>
  <c r="AC246" i="6"/>
  <c r="AC203" i="6"/>
  <c r="AD203" i="6"/>
  <c r="AD190" i="6"/>
  <c r="AC190" i="6"/>
  <c r="AC147" i="6"/>
  <c r="AD147" i="6"/>
  <c r="AD126" i="6"/>
  <c r="AC126" i="6"/>
  <c r="AD94" i="6"/>
  <c r="AC94" i="6"/>
  <c r="AC83" i="6"/>
  <c r="AD83" i="6"/>
  <c r="AD46" i="6"/>
  <c r="AC46" i="6"/>
  <c r="AC31" i="6"/>
  <c r="AD31" i="6"/>
  <c r="AD274" i="6"/>
  <c r="AC274" i="6"/>
  <c r="AD198" i="6"/>
  <c r="AC198" i="6"/>
  <c r="AD102" i="6"/>
  <c r="AC102" i="6"/>
  <c r="AC27" i="6"/>
  <c r="AD27" i="6"/>
  <c r="AD209" i="6"/>
  <c r="AC209" i="6"/>
  <c r="AD132" i="6"/>
  <c r="AC132" i="6"/>
  <c r="AD40" i="6"/>
  <c r="AC40" i="6"/>
  <c r="AC339" i="6"/>
  <c r="AD339" i="6"/>
  <c r="AD310" i="6"/>
  <c r="AC310" i="6"/>
  <c r="AD240" i="6"/>
  <c r="AC240" i="6"/>
  <c r="AD197" i="6"/>
  <c r="AC197" i="6"/>
  <c r="AD144" i="6"/>
  <c r="AC144" i="6"/>
  <c r="AD101" i="6"/>
  <c r="AC101" i="6"/>
  <c r="AD79" i="6"/>
  <c r="AC79" i="6"/>
  <c r="AD26" i="6"/>
  <c r="AC26" i="6"/>
  <c r="AC356" i="6"/>
  <c r="AD356" i="6"/>
  <c r="AD290" i="6"/>
  <c r="AC290" i="6"/>
  <c r="AC347" i="6"/>
  <c r="AD347" i="6"/>
  <c r="AD238" i="6"/>
  <c r="AC238" i="6"/>
  <c r="AD174" i="6"/>
  <c r="AC174" i="6"/>
  <c r="AC131" i="6"/>
  <c r="AD131" i="6"/>
  <c r="AC75" i="6"/>
  <c r="AD75" i="6"/>
  <c r="AD50" i="6"/>
  <c r="AC50" i="6"/>
  <c r="AC387" i="6"/>
  <c r="AD387" i="6"/>
  <c r="AC363" i="6"/>
  <c r="AD363" i="6"/>
  <c r="AC327" i="6"/>
  <c r="AD327" i="6"/>
  <c r="AC309" i="6"/>
  <c r="AD309" i="6"/>
  <c r="AD280" i="6"/>
  <c r="AC280" i="6"/>
  <c r="AC183" i="6"/>
  <c r="AD183" i="6"/>
  <c r="AD130" i="6"/>
  <c r="AC130" i="6"/>
  <c r="AC87" i="6"/>
  <c r="AD87" i="6"/>
  <c r="AD21" i="6"/>
  <c r="AC21" i="6"/>
  <c r="AC346" i="6"/>
  <c r="AD346" i="6"/>
  <c r="AD269" i="6"/>
  <c r="AC269" i="6"/>
  <c r="AD194" i="6"/>
  <c r="AC194" i="6"/>
  <c r="AD151" i="6"/>
  <c r="AC151" i="6"/>
  <c r="AD96" i="6"/>
  <c r="AC96" i="6"/>
  <c r="AD64" i="6"/>
  <c r="AC64" i="6"/>
  <c r="AC384" i="6"/>
  <c r="AD384" i="6"/>
  <c r="AD334" i="6"/>
  <c r="AC334" i="6"/>
  <c r="AD258" i="6"/>
  <c r="AC258" i="6"/>
  <c r="AC237" i="6"/>
  <c r="AD237" i="6"/>
  <c r="AD138" i="6"/>
  <c r="AC138" i="6"/>
  <c r="AC95" i="6"/>
  <c r="AD95" i="6"/>
  <c r="AC392" i="6"/>
  <c r="AD392" i="6"/>
  <c r="AC368" i="6"/>
  <c r="AD368" i="6"/>
  <c r="AD324" i="6"/>
  <c r="AC324" i="6"/>
  <c r="AC315" i="6"/>
  <c r="AD315" i="6"/>
  <c r="AD286" i="6"/>
  <c r="AC286" i="6"/>
  <c r="AC255" i="6"/>
  <c r="AD255" i="6"/>
  <c r="AD233" i="6"/>
  <c r="AC233" i="6"/>
  <c r="AD202" i="6"/>
  <c r="AC202" i="6"/>
  <c r="AD180" i="6"/>
  <c r="AC180" i="6"/>
  <c r="AC159" i="6"/>
  <c r="AD159" i="6"/>
  <c r="AD137" i="6"/>
  <c r="AC137" i="6"/>
  <c r="AD82" i="6"/>
  <c r="AC82" i="6"/>
  <c r="AD17" i="6"/>
  <c r="AC17" i="6"/>
  <c r="AC358" i="6"/>
  <c r="AD358" i="6"/>
  <c r="AD312" i="6"/>
  <c r="AC312" i="6"/>
  <c r="AD262" i="6"/>
  <c r="AC262" i="6"/>
  <c r="AD166" i="6"/>
  <c r="AC166" i="6"/>
  <c r="AC372" i="6"/>
  <c r="AD372" i="6"/>
  <c r="AC311" i="6"/>
  <c r="AD311" i="6"/>
  <c r="AD252" i="6"/>
  <c r="AC252" i="6"/>
  <c r="AC383" i="6"/>
  <c r="AD383" i="6"/>
  <c r="AC359" i="6"/>
  <c r="AD359" i="6"/>
  <c r="AD342" i="6"/>
  <c r="AC342" i="6"/>
  <c r="AC333" i="6"/>
  <c r="AD333" i="6"/>
  <c r="AD304" i="6"/>
  <c r="AC304" i="6"/>
  <c r="AC295" i="6"/>
  <c r="AD295" i="6"/>
  <c r="AD266" i="6"/>
  <c r="AC266" i="6"/>
  <c r="AD245" i="6"/>
  <c r="AC245" i="6"/>
  <c r="AC223" i="6"/>
  <c r="AD223" i="6"/>
  <c r="AD168" i="6"/>
  <c r="AC168" i="6"/>
  <c r="AD146" i="6"/>
  <c r="AC146" i="6"/>
  <c r="AD125" i="6"/>
  <c r="AC125" i="6"/>
  <c r="AC103" i="6"/>
  <c r="AD103" i="6"/>
  <c r="AD72" i="6"/>
  <c r="AC72" i="6"/>
  <c r="AD58" i="6"/>
  <c r="AC58" i="6"/>
  <c r="AC390" i="6"/>
  <c r="AD390" i="6"/>
  <c r="AC375" i="6"/>
  <c r="AD375" i="6"/>
  <c r="AC366" i="6"/>
  <c r="AD366" i="6"/>
  <c r="AC351" i="6"/>
  <c r="AD351" i="6"/>
  <c r="AC275" i="6"/>
  <c r="AD275" i="6"/>
  <c r="AD232" i="6"/>
  <c r="AC232" i="6"/>
  <c r="AD210" i="6"/>
  <c r="AC210" i="6"/>
  <c r="AC189" i="6"/>
  <c r="AD189" i="6"/>
  <c r="AC167" i="6"/>
  <c r="AD167" i="6"/>
  <c r="AD136" i="6"/>
  <c r="AC136" i="6"/>
  <c r="AD114" i="6"/>
  <c r="AC114" i="6"/>
  <c r="AC93" i="6"/>
  <c r="AD93" i="6"/>
  <c r="AC71" i="6"/>
  <c r="AD71" i="6"/>
  <c r="AC45" i="6"/>
  <c r="AD45" i="6"/>
  <c r="AD29" i="6"/>
  <c r="AC29" i="6"/>
  <c r="AD16" i="6"/>
  <c r="AC16" i="6"/>
  <c r="AC323" i="6"/>
  <c r="AD323" i="6"/>
  <c r="AD294" i="6"/>
  <c r="AC294" i="6"/>
  <c r="AC155" i="6"/>
  <c r="AD155" i="6"/>
  <c r="AD282" i="6"/>
  <c r="AC282" i="6"/>
  <c r="AC39" i="6"/>
  <c r="AD39" i="6"/>
  <c r="AC380" i="6"/>
  <c r="AD380" i="6"/>
  <c r="AD319" i="6"/>
  <c r="AC319" i="6"/>
  <c r="AD281" i="6"/>
  <c r="AC281" i="6"/>
  <c r="AD261" i="6"/>
  <c r="AC261" i="6"/>
  <c r="AC239" i="6"/>
  <c r="AD239" i="6"/>
  <c r="AD208" i="6"/>
  <c r="AC208" i="6"/>
  <c r="AD186" i="6"/>
  <c r="AC186" i="6"/>
  <c r="AD165" i="6"/>
  <c r="AC165" i="6"/>
  <c r="AC143" i="6"/>
  <c r="AD143" i="6"/>
  <c r="AD88" i="6"/>
  <c r="AC88" i="6"/>
  <c r="AD371" i="6"/>
  <c r="AC371" i="6"/>
  <c r="AD338" i="6"/>
  <c r="AC338" i="6"/>
  <c r="AC299" i="6"/>
  <c r="AD299" i="6"/>
  <c r="AD270" i="6"/>
  <c r="AC270" i="6"/>
  <c r="AD108" i="6"/>
  <c r="AC108" i="6"/>
  <c r="AC251" i="6"/>
  <c r="AD251" i="6"/>
  <c r="AD222" i="6"/>
  <c r="AC222" i="6"/>
  <c r="AC179" i="6"/>
  <c r="AD179" i="6"/>
  <c r="AD150" i="6"/>
  <c r="AC150" i="6"/>
  <c r="AC107" i="6"/>
  <c r="AD107" i="6"/>
  <c r="AD70" i="6"/>
  <c r="AC70" i="6"/>
  <c r="AD34" i="6"/>
  <c r="AC34" i="6"/>
  <c r="AC374" i="6"/>
  <c r="AD374" i="6"/>
  <c r="AC350" i="6"/>
  <c r="AD350" i="6"/>
  <c r="AD322" i="6"/>
  <c r="AC322" i="6"/>
  <c r="AD300" i="6"/>
  <c r="AC300" i="6"/>
  <c r="AD257" i="6"/>
  <c r="AC257" i="6"/>
  <c r="AC207" i="6"/>
  <c r="AD207" i="6"/>
  <c r="AD178" i="6"/>
  <c r="AC178" i="6"/>
  <c r="AC135" i="6"/>
  <c r="AD135" i="6"/>
  <c r="AD113" i="6"/>
  <c r="AC113" i="6"/>
  <c r="AD84" i="6"/>
  <c r="AC84" i="6"/>
  <c r="AD5" i="6"/>
  <c r="AC5" i="6"/>
  <c r="AC343" i="6"/>
  <c r="AD343" i="6"/>
  <c r="AD336" i="6"/>
  <c r="AC336" i="6"/>
  <c r="AD314" i="6"/>
  <c r="AC314" i="6"/>
  <c r="AD293" i="6"/>
  <c r="AC293" i="6"/>
  <c r="AC271" i="6"/>
  <c r="AD271" i="6"/>
  <c r="AD264" i="6"/>
  <c r="AC264" i="6"/>
  <c r="AD242" i="6"/>
  <c r="AC242" i="6"/>
  <c r="AD221" i="6"/>
  <c r="AC221" i="6"/>
  <c r="AC199" i="6"/>
  <c r="AD199" i="6"/>
  <c r="AD192" i="6"/>
  <c r="AC192" i="6"/>
  <c r="AD170" i="6"/>
  <c r="AC170" i="6"/>
  <c r="AD149" i="6"/>
  <c r="AC149" i="6"/>
  <c r="AC127" i="6"/>
  <c r="AD127" i="6"/>
  <c r="AD120" i="6"/>
  <c r="AC120" i="6"/>
  <c r="AD98" i="6"/>
  <c r="AC98" i="6"/>
  <c r="AD77" i="6"/>
  <c r="AC77" i="6"/>
  <c r="AC51" i="6"/>
  <c r="AD51" i="6"/>
  <c r="AD22" i="6"/>
  <c r="AC22" i="6"/>
  <c r="AC243" i="6"/>
  <c r="AD243" i="6"/>
  <c r="AD214" i="6"/>
  <c r="AC214" i="6"/>
  <c r="AC171" i="6"/>
  <c r="AD171" i="6"/>
  <c r="AD142" i="6"/>
  <c r="AC142" i="6"/>
  <c r="AC99" i="6"/>
  <c r="AD99" i="6"/>
  <c r="AD78" i="6"/>
  <c r="AC78" i="6"/>
  <c r="AC63" i="6"/>
  <c r="AD63" i="6"/>
  <c r="AC15" i="6"/>
  <c r="AD15" i="6"/>
  <c r="AC386" i="6"/>
  <c r="AD386" i="6"/>
  <c r="AC362" i="6"/>
  <c r="AD362" i="6"/>
  <c r="AD329" i="6"/>
  <c r="AC329" i="6"/>
  <c r="AC279" i="6"/>
  <c r="AD279" i="6"/>
  <c r="AD250" i="6"/>
  <c r="AC250" i="6"/>
  <c r="AD228" i="6"/>
  <c r="AC228" i="6"/>
  <c r="AD185" i="6"/>
  <c r="AC185" i="6"/>
  <c r="AD156" i="6"/>
  <c r="AC156" i="6"/>
  <c r="AD106" i="6"/>
  <c r="AC106" i="6"/>
  <c r="AD53" i="6"/>
  <c r="AC53" i="6"/>
  <c r="AD24" i="6"/>
  <c r="AC24" i="6"/>
  <c r="AC391" i="6"/>
  <c r="AD391" i="6"/>
  <c r="AD379" i="6"/>
  <c r="AC379" i="6"/>
  <c r="AC367" i="6"/>
  <c r="AD367" i="6"/>
  <c r="AD355" i="6"/>
  <c r="AC355" i="6"/>
  <c r="AC335" i="6"/>
  <c r="AD335" i="6"/>
  <c r="AD328" i="6"/>
  <c r="AC328" i="6"/>
  <c r="AD306" i="6"/>
  <c r="AC306" i="6"/>
  <c r="AC285" i="6"/>
  <c r="AD285" i="6"/>
  <c r="AC263" i="6"/>
  <c r="AD263" i="6"/>
  <c r="AD256" i="6"/>
  <c r="AC256" i="6"/>
  <c r="AD234" i="6"/>
  <c r="AC234" i="6"/>
  <c r="AD213" i="6"/>
  <c r="AC213" i="6"/>
  <c r="AC191" i="6"/>
  <c r="AD191" i="6"/>
  <c r="AD184" i="6"/>
  <c r="AC184" i="6"/>
  <c r="AD162" i="6"/>
  <c r="AC162" i="6"/>
  <c r="AD141" i="6"/>
  <c r="AC141" i="6"/>
  <c r="AC119" i="6"/>
  <c r="AD119" i="6"/>
  <c r="AD112" i="6"/>
  <c r="AC112" i="6"/>
  <c r="AD90" i="6"/>
  <c r="AC90" i="6"/>
  <c r="AC69" i="6"/>
  <c r="AD69" i="6"/>
  <c r="AD60" i="6"/>
  <c r="AC60" i="6"/>
  <c r="AD41" i="6"/>
  <c r="AC41" i="6"/>
  <c r="AD12" i="6"/>
  <c r="AC12" i="6"/>
  <c r="AC331" i="6"/>
  <c r="AD331" i="6"/>
  <c r="AD326" i="6"/>
  <c r="AC326" i="6"/>
  <c r="AD307" i="6"/>
  <c r="AC307" i="6"/>
  <c r="AD302" i="6"/>
  <c r="AC302" i="6"/>
  <c r="AD283" i="6"/>
  <c r="AC283" i="6"/>
  <c r="AD278" i="6"/>
  <c r="AC278" i="6"/>
  <c r="AC259" i="6"/>
  <c r="AD259" i="6"/>
  <c r="AD254" i="6"/>
  <c r="AC254" i="6"/>
  <c r="AC235" i="6"/>
  <c r="AD235" i="6"/>
  <c r="AD230" i="6"/>
  <c r="AC230" i="6"/>
  <c r="AC211" i="6"/>
  <c r="AD211" i="6"/>
  <c r="AD206" i="6"/>
  <c r="AC206" i="6"/>
  <c r="AC187" i="6"/>
  <c r="AD187" i="6"/>
  <c r="AD182" i="6"/>
  <c r="AC182" i="6"/>
  <c r="AC163" i="6"/>
  <c r="AD163" i="6"/>
  <c r="AD158" i="6"/>
  <c r="AC158" i="6"/>
  <c r="AC139" i="6"/>
  <c r="AD139" i="6"/>
  <c r="AD134" i="6"/>
  <c r="AC134" i="6"/>
  <c r="AC115" i="6"/>
  <c r="AD115" i="6"/>
  <c r="AD110" i="6"/>
  <c r="AC110" i="6"/>
  <c r="AD91" i="6"/>
  <c r="AC91" i="6"/>
  <c r="AD86" i="6"/>
  <c r="AC86" i="6"/>
  <c r="AC67" i="6"/>
  <c r="AD67" i="6"/>
  <c r="AD62" i="6"/>
  <c r="AC62" i="6"/>
  <c r="AC43" i="6"/>
  <c r="AD43" i="6"/>
  <c r="AD38" i="6"/>
  <c r="AC38" i="6"/>
  <c r="AC19" i="6"/>
  <c r="AD19" i="6"/>
  <c r="AD14" i="6"/>
  <c r="AC14" i="6"/>
  <c r="AC393" i="6"/>
  <c r="AD393" i="6"/>
  <c r="AC389" i="6"/>
  <c r="AD389" i="6"/>
  <c r="AC385" i="6"/>
  <c r="AD385" i="6"/>
  <c r="AC381" i="6"/>
  <c r="AD381" i="6"/>
  <c r="AC377" i="6"/>
  <c r="AD377" i="6"/>
  <c r="AC373" i="6"/>
  <c r="AD373" i="6"/>
  <c r="AC369" i="6"/>
  <c r="AD369" i="6"/>
  <c r="AC365" i="6"/>
  <c r="AD365" i="6"/>
  <c r="AC361" i="6"/>
  <c r="AD361" i="6"/>
  <c r="AC357" i="6"/>
  <c r="AD357" i="6"/>
  <c r="AC353" i="6"/>
  <c r="AD353" i="6"/>
  <c r="AC349" i="6"/>
  <c r="AD349" i="6"/>
  <c r="AC345" i="6"/>
  <c r="AD345" i="6"/>
  <c r="AD340" i="6"/>
  <c r="AC340" i="6"/>
  <c r="AC321" i="6"/>
  <c r="AD321" i="6"/>
  <c r="AD316" i="6"/>
  <c r="AC316" i="6"/>
  <c r="AC297" i="6"/>
  <c r="AD297" i="6"/>
  <c r="AD292" i="6"/>
  <c r="AC292" i="6"/>
  <c r="AC273" i="6"/>
  <c r="AD273" i="6"/>
  <c r="AD268" i="6"/>
  <c r="AC268" i="6"/>
  <c r="AC249" i="6"/>
  <c r="AD249" i="6"/>
  <c r="AD244" i="6"/>
  <c r="AC244" i="6"/>
  <c r="AC225" i="6"/>
  <c r="AD225" i="6"/>
  <c r="AD220" i="6"/>
  <c r="AC220" i="6"/>
  <c r="AC201" i="6"/>
  <c r="AD201" i="6"/>
  <c r="AD196" i="6"/>
  <c r="AC196" i="6"/>
  <c r="AC177" i="6"/>
  <c r="AD177" i="6"/>
  <c r="AD172" i="6"/>
  <c r="AC172" i="6"/>
  <c r="AC153" i="6"/>
  <c r="AD153" i="6"/>
  <c r="AD148" i="6"/>
  <c r="AC148" i="6"/>
  <c r="AC129" i="6"/>
  <c r="AD129" i="6"/>
  <c r="AD124" i="6"/>
  <c r="AC124" i="6"/>
  <c r="AC105" i="6"/>
  <c r="AD105" i="6"/>
  <c r="AD100" i="6"/>
  <c r="AC100" i="6"/>
  <c r="AC81" i="6"/>
  <c r="AD81" i="6"/>
  <c r="AD76" i="6"/>
  <c r="AC76" i="6"/>
  <c r="AC57" i="6"/>
  <c r="AD57" i="6"/>
  <c r="AD52" i="6"/>
  <c r="AC52" i="6"/>
  <c r="AC33" i="6"/>
  <c r="AD33" i="6"/>
  <c r="AD28" i="6"/>
  <c r="AC28" i="6"/>
  <c r="AC9" i="6"/>
  <c r="AD9" i="6"/>
  <c r="AD66" i="6"/>
  <c r="AC66" i="6"/>
  <c r="AC47" i="6"/>
  <c r="AD47" i="6"/>
  <c r="AD42" i="6"/>
  <c r="AC42" i="6"/>
  <c r="AC23" i="6"/>
  <c r="AD23" i="6"/>
  <c r="AD18" i="6"/>
  <c r="AC18" i="6"/>
  <c r="AD344" i="6"/>
  <c r="AC344" i="6"/>
  <c r="AD325" i="6"/>
  <c r="AC325" i="6"/>
  <c r="AD320" i="6"/>
  <c r="AC320" i="6"/>
  <c r="AD301" i="6"/>
  <c r="AC301" i="6"/>
  <c r="AD296" i="6"/>
  <c r="AC296" i="6"/>
  <c r="AD277" i="6"/>
  <c r="AC277" i="6"/>
  <c r="AD272" i="6"/>
  <c r="AC272" i="6"/>
  <c r="AD253" i="6"/>
  <c r="AC253" i="6"/>
  <c r="AD248" i="6"/>
  <c r="AC248" i="6"/>
  <c r="AD229" i="6"/>
  <c r="AC229" i="6"/>
  <c r="AD224" i="6"/>
  <c r="AC224" i="6"/>
  <c r="AD205" i="6"/>
  <c r="AC205" i="6"/>
  <c r="AD200" i="6"/>
  <c r="AC200" i="6"/>
  <c r="AD181" i="6"/>
  <c r="AC181" i="6"/>
  <c r="AD176" i="6"/>
  <c r="AC176" i="6"/>
  <c r="AD157" i="6"/>
  <c r="AC157" i="6"/>
  <c r="AD152" i="6"/>
  <c r="AC152" i="6"/>
  <c r="AD133" i="6"/>
  <c r="AC133" i="6"/>
  <c r="AD128" i="6"/>
  <c r="AC128" i="6"/>
  <c r="AD109" i="6"/>
  <c r="AC109" i="6"/>
  <c r="AD104" i="6"/>
  <c r="AC104" i="6"/>
  <c r="AD85" i="6"/>
  <c r="AC85" i="6"/>
  <c r="AD80" i="6"/>
  <c r="AC80" i="6"/>
  <c r="AC61" i="6"/>
  <c r="AD61" i="6"/>
  <c r="AD56" i="6"/>
  <c r="AC56" i="6"/>
  <c r="AC37" i="6"/>
  <c r="AD37" i="6"/>
  <c r="AD32" i="6"/>
  <c r="AC32" i="6"/>
  <c r="AC13" i="6"/>
  <c r="AD13" i="6"/>
  <c r="AD8" i="6"/>
  <c r="AC8" i="6"/>
  <c r="AC59" i="6"/>
  <c r="AD59" i="6"/>
  <c r="AD54" i="6"/>
  <c r="AC54" i="6"/>
  <c r="AC35" i="6"/>
  <c r="AD35" i="6"/>
  <c r="AD30" i="6"/>
  <c r="AC30" i="6"/>
  <c r="AD11" i="6"/>
  <c r="AC11" i="6"/>
  <c r="AD6" i="6"/>
  <c r="AC6" i="6"/>
  <c r="AD337" i="6"/>
  <c r="AC337" i="6"/>
  <c r="AD332" i="6"/>
  <c r="AC332" i="6"/>
  <c r="AD313" i="6"/>
  <c r="AC313" i="6"/>
  <c r="AD308" i="6"/>
  <c r="AC308" i="6"/>
  <c r="AD289" i="6"/>
  <c r="AC289" i="6"/>
  <c r="AD284" i="6"/>
  <c r="AC284" i="6"/>
  <c r="AC265" i="6"/>
  <c r="AD265" i="6"/>
  <c r="AD260" i="6"/>
  <c r="AC260" i="6"/>
  <c r="AD241" i="6"/>
  <c r="AC241" i="6"/>
  <c r="AD236" i="6"/>
  <c r="AC236" i="6"/>
  <c r="AC217" i="6"/>
  <c r="AD217" i="6"/>
  <c r="AD212" i="6"/>
  <c r="AC212" i="6"/>
  <c r="AC193" i="6"/>
  <c r="AD193" i="6"/>
  <c r="AD188" i="6"/>
  <c r="AC188" i="6"/>
  <c r="AD169" i="6"/>
  <c r="AC169" i="6"/>
  <c r="AD164" i="6"/>
  <c r="AC164" i="6"/>
  <c r="AC145" i="6"/>
  <c r="AD145" i="6"/>
  <c r="AD140" i="6"/>
  <c r="AC140" i="6"/>
  <c r="AC121" i="6"/>
  <c r="AD121" i="6"/>
  <c r="AD116" i="6"/>
  <c r="AC116" i="6"/>
  <c r="AD97" i="6"/>
  <c r="AC97" i="6"/>
  <c r="AD92" i="6"/>
  <c r="AC92" i="6"/>
  <c r="AD73" i="6"/>
  <c r="AC73" i="6"/>
  <c r="AD68" i="6"/>
  <c r="AC68" i="6"/>
  <c r="AC49" i="6"/>
  <c r="AD49" i="6"/>
  <c r="AD44" i="6"/>
  <c r="AC44" i="6"/>
  <c r="AC25" i="6"/>
  <c r="AD25" i="6"/>
  <c r="AD20" i="6"/>
  <c r="AC20" i="6"/>
  <c r="AD4" i="6"/>
  <c r="AC4" i="6"/>
  <c r="U306" i="6"/>
  <c r="S306" i="6"/>
  <c r="T306" i="6"/>
  <c r="S350" i="6"/>
  <c r="U350" i="6"/>
  <c r="T350" i="6"/>
  <c r="S146" i="6"/>
  <c r="T146" i="6"/>
  <c r="U146" i="6"/>
  <c r="T130" i="6"/>
  <c r="S130" i="6"/>
  <c r="U130" i="6"/>
  <c r="U97" i="6"/>
  <c r="S97" i="6"/>
  <c r="T97" i="6"/>
  <c r="T24" i="6"/>
  <c r="U24" i="6"/>
  <c r="S24" i="6"/>
  <c r="S386" i="6"/>
  <c r="U386" i="6"/>
  <c r="T386" i="6"/>
  <c r="S371" i="6"/>
  <c r="T371" i="6"/>
  <c r="U371" i="6"/>
  <c r="U360" i="6"/>
  <c r="S360" i="6"/>
  <c r="T360" i="6"/>
  <c r="U349" i="6"/>
  <c r="S349" i="6"/>
  <c r="T349" i="6"/>
  <c r="S320" i="6"/>
  <c r="U320" i="6"/>
  <c r="T320" i="6"/>
  <c r="U312" i="6"/>
  <c r="S312" i="6"/>
  <c r="T312" i="6"/>
  <c r="S205" i="6"/>
  <c r="T205" i="6"/>
  <c r="U205" i="6"/>
  <c r="T160" i="6"/>
  <c r="U160" i="6"/>
  <c r="S160" i="6"/>
  <c r="T129" i="6"/>
  <c r="S129" i="6"/>
  <c r="U129" i="6"/>
  <c r="S4" i="6"/>
  <c r="U4" i="6"/>
  <c r="T4" i="6"/>
  <c r="S390" i="6"/>
  <c r="U390" i="6"/>
  <c r="T390" i="6"/>
  <c r="S381" i="6"/>
  <c r="U381" i="6"/>
  <c r="T381" i="6"/>
  <c r="U376" i="6"/>
  <c r="T376" i="6"/>
  <c r="S376" i="6"/>
  <c r="U342" i="6"/>
  <c r="S342" i="6"/>
  <c r="T342" i="6"/>
  <c r="U287" i="6"/>
  <c r="S287" i="6"/>
  <c r="T287" i="6"/>
  <c r="U279" i="6"/>
  <c r="S279" i="6"/>
  <c r="T279" i="6"/>
  <c r="T258" i="6"/>
  <c r="U258" i="6"/>
  <c r="S258" i="6"/>
  <c r="T245" i="6"/>
  <c r="U245" i="6"/>
  <c r="S245" i="6"/>
  <c r="T232" i="6"/>
  <c r="U232" i="6"/>
  <c r="S232" i="6"/>
  <c r="U217" i="6"/>
  <c r="T217" i="6"/>
  <c r="S217" i="6"/>
  <c r="T75" i="6"/>
  <c r="S75" i="6"/>
  <c r="U75" i="6"/>
  <c r="S19" i="6"/>
  <c r="U19" i="6"/>
  <c r="T19" i="6"/>
  <c r="S387" i="6"/>
  <c r="U387" i="6"/>
  <c r="T387" i="6"/>
  <c r="T207" i="6"/>
  <c r="S207" i="6"/>
  <c r="U207" i="6"/>
  <c r="S98" i="6"/>
  <c r="T98" i="6"/>
  <c r="U98" i="6"/>
  <c r="U372" i="6"/>
  <c r="T372" i="6"/>
  <c r="S372" i="6"/>
  <c r="S281" i="6"/>
  <c r="T281" i="6"/>
  <c r="U281" i="6"/>
  <c r="T191" i="6"/>
  <c r="S191" i="6"/>
  <c r="U191" i="6"/>
  <c r="U366" i="6"/>
  <c r="S366" i="6"/>
  <c r="T366" i="6"/>
  <c r="U176" i="6"/>
  <c r="T176" i="6"/>
  <c r="S176" i="6"/>
  <c r="U370" i="6"/>
  <c r="T370" i="6"/>
  <c r="S370" i="6"/>
  <c r="U365" i="6"/>
  <c r="S365" i="6"/>
  <c r="T365" i="6"/>
  <c r="U354" i="6"/>
  <c r="S354" i="6"/>
  <c r="T354" i="6"/>
  <c r="U348" i="6"/>
  <c r="T348" i="6"/>
  <c r="S348" i="6"/>
  <c r="S334" i="6"/>
  <c r="T334" i="6"/>
  <c r="U334" i="6"/>
  <c r="T231" i="6"/>
  <c r="S231" i="6"/>
  <c r="U231" i="6"/>
  <c r="T186" i="6"/>
  <c r="U186" i="6"/>
  <c r="S186" i="6"/>
  <c r="T156" i="6"/>
  <c r="S156" i="6"/>
  <c r="U156" i="6"/>
  <c r="U109" i="6"/>
  <c r="T109" i="6"/>
  <c r="S109" i="6"/>
  <c r="U38" i="6"/>
  <c r="S38" i="6"/>
  <c r="T38" i="6"/>
  <c r="U359" i="6"/>
  <c r="S359" i="6"/>
  <c r="T359" i="6"/>
  <c r="U311" i="6"/>
  <c r="S311" i="6"/>
  <c r="T311" i="6"/>
  <c r="S302" i="6"/>
  <c r="U302" i="6"/>
  <c r="T302" i="6"/>
  <c r="U256" i="6"/>
  <c r="S256" i="6"/>
  <c r="T256" i="6"/>
  <c r="T35" i="6"/>
  <c r="U35" i="6"/>
  <c r="S35" i="6"/>
  <c r="S389" i="6"/>
  <c r="T389" i="6"/>
  <c r="U389" i="6"/>
  <c r="S380" i="6"/>
  <c r="T380" i="6"/>
  <c r="U380" i="6"/>
  <c r="U369" i="6"/>
  <c r="S369" i="6"/>
  <c r="T369" i="6"/>
  <c r="S353" i="6"/>
  <c r="T353" i="6"/>
  <c r="U353" i="6"/>
  <c r="S347" i="6"/>
  <c r="T347" i="6"/>
  <c r="U347" i="6"/>
  <c r="S340" i="6"/>
  <c r="U340" i="6"/>
  <c r="T340" i="6"/>
  <c r="U309" i="6"/>
  <c r="S309" i="6"/>
  <c r="T309" i="6"/>
  <c r="U267" i="6"/>
  <c r="T267" i="6"/>
  <c r="S267" i="6"/>
  <c r="U199" i="6"/>
  <c r="T199" i="6"/>
  <c r="S199" i="6"/>
  <c r="T169" i="6"/>
  <c r="U169" i="6"/>
  <c r="S169" i="6"/>
  <c r="S356" i="6"/>
  <c r="U356" i="6"/>
  <c r="T356" i="6"/>
  <c r="U276" i="6"/>
  <c r="S276" i="6"/>
  <c r="T276" i="6"/>
  <c r="T71" i="6"/>
  <c r="S71" i="6"/>
  <c r="U71" i="6"/>
  <c r="T332" i="6"/>
  <c r="S332" i="6"/>
  <c r="U332" i="6"/>
  <c r="S284" i="6"/>
  <c r="U284" i="6"/>
  <c r="T284" i="6"/>
  <c r="U379" i="6"/>
  <c r="T379" i="6"/>
  <c r="S379" i="6"/>
  <c r="U264" i="6"/>
  <c r="S264" i="6"/>
  <c r="T264" i="6"/>
  <c r="T209" i="6"/>
  <c r="U209" i="6"/>
  <c r="S209" i="6"/>
  <c r="S134" i="6"/>
  <c r="T134" i="6"/>
  <c r="U134" i="6"/>
  <c r="T84" i="6"/>
  <c r="U84" i="6"/>
  <c r="S84" i="6"/>
  <c r="T9" i="6"/>
  <c r="S9" i="6"/>
  <c r="U9" i="6"/>
  <c r="S290" i="6"/>
  <c r="U290" i="6"/>
  <c r="T290" i="6"/>
  <c r="T132" i="6"/>
  <c r="U132" i="6"/>
  <c r="S132" i="6"/>
  <c r="S329" i="6"/>
  <c r="U329" i="6"/>
  <c r="T329" i="6"/>
  <c r="U297" i="6"/>
  <c r="S297" i="6"/>
  <c r="T297" i="6"/>
  <c r="S80" i="6"/>
  <c r="T80" i="6"/>
  <c r="U80" i="6"/>
  <c r="S44" i="6"/>
  <c r="T44" i="6"/>
  <c r="U44" i="6"/>
  <c r="U377" i="6"/>
  <c r="S377" i="6"/>
  <c r="T377" i="6"/>
  <c r="U361" i="6"/>
  <c r="S361" i="6"/>
  <c r="T361" i="6"/>
  <c r="S393" i="6"/>
  <c r="U393" i="6"/>
  <c r="T393" i="6"/>
  <c r="S384" i="6"/>
  <c r="U384" i="6"/>
  <c r="T384" i="6"/>
  <c r="S374" i="6"/>
  <c r="U374" i="6"/>
  <c r="T374" i="6"/>
  <c r="U363" i="6"/>
  <c r="S363" i="6"/>
  <c r="T363" i="6"/>
  <c r="U358" i="6"/>
  <c r="T358" i="6"/>
  <c r="S358" i="6"/>
  <c r="S325" i="6"/>
  <c r="U325" i="6"/>
  <c r="T325" i="6"/>
  <c r="S317" i="6"/>
  <c r="T317" i="6"/>
  <c r="U317" i="6"/>
  <c r="T34" i="6"/>
  <c r="U34" i="6"/>
  <c r="S34" i="6"/>
  <c r="U352" i="6"/>
  <c r="T352" i="6"/>
  <c r="S352" i="6"/>
  <c r="U324" i="6"/>
  <c r="S324" i="6"/>
  <c r="T324" i="6"/>
  <c r="S308" i="6"/>
  <c r="U308" i="6"/>
  <c r="T308" i="6"/>
  <c r="T138" i="6"/>
  <c r="S138" i="6"/>
  <c r="U138" i="6"/>
  <c r="S104" i="6"/>
  <c r="U104" i="6"/>
  <c r="T104" i="6"/>
  <c r="S53" i="6"/>
  <c r="T53" i="6"/>
  <c r="U53" i="6"/>
  <c r="U346" i="6"/>
  <c r="T346" i="6"/>
  <c r="S346" i="6"/>
  <c r="U300" i="6"/>
  <c r="S300" i="6"/>
  <c r="T300" i="6"/>
  <c r="U291" i="6"/>
  <c r="S291" i="6"/>
  <c r="T291" i="6"/>
  <c r="S392" i="6"/>
  <c r="T392" i="6"/>
  <c r="U392" i="6"/>
  <c r="S383" i="6"/>
  <c r="T383" i="6"/>
  <c r="U383" i="6"/>
  <c r="U378" i="6"/>
  <c r="S378" i="6"/>
  <c r="T378" i="6"/>
  <c r="S362" i="6"/>
  <c r="T362" i="6"/>
  <c r="U362" i="6"/>
  <c r="U351" i="6"/>
  <c r="S351" i="6"/>
  <c r="T351" i="6"/>
  <c r="S338" i="6"/>
  <c r="T338" i="6"/>
  <c r="U338" i="6"/>
  <c r="U330" i="6"/>
  <c r="S330" i="6"/>
  <c r="T330" i="6"/>
  <c r="U323" i="6"/>
  <c r="S323" i="6"/>
  <c r="T323" i="6"/>
  <c r="S224" i="6"/>
  <c r="U224" i="6"/>
  <c r="T224" i="6"/>
  <c r="U194" i="6"/>
  <c r="S194" i="6"/>
  <c r="T194" i="6"/>
  <c r="T117" i="6"/>
  <c r="S117" i="6"/>
  <c r="U117" i="6"/>
  <c r="T391" i="6"/>
  <c r="S391" i="6"/>
  <c r="U391" i="6"/>
  <c r="S385" i="6"/>
  <c r="T385" i="6"/>
  <c r="U385" i="6"/>
  <c r="T382" i="6"/>
  <c r="U382" i="6"/>
  <c r="S382" i="6"/>
  <c r="U375" i="6"/>
  <c r="S375" i="6"/>
  <c r="T375" i="6"/>
  <c r="S368" i="6"/>
  <c r="U368" i="6"/>
  <c r="T368" i="6"/>
  <c r="U357" i="6"/>
  <c r="S357" i="6"/>
  <c r="T357" i="6"/>
  <c r="U336" i="6"/>
  <c r="S336" i="6"/>
  <c r="T336" i="6"/>
  <c r="U305" i="6"/>
  <c r="T305" i="6"/>
  <c r="S305" i="6"/>
  <c r="U294" i="6"/>
  <c r="S294" i="6"/>
  <c r="T294" i="6"/>
  <c r="S272" i="6"/>
  <c r="T272" i="6"/>
  <c r="U272" i="6"/>
  <c r="S260" i="6"/>
  <c r="U260" i="6"/>
  <c r="T260" i="6"/>
  <c r="S254" i="6"/>
  <c r="T254" i="6"/>
  <c r="U254" i="6"/>
  <c r="S247" i="6"/>
  <c r="T247" i="6"/>
  <c r="U247" i="6"/>
  <c r="T241" i="6"/>
  <c r="S241" i="6"/>
  <c r="U241" i="6"/>
  <c r="T220" i="6"/>
  <c r="S220" i="6"/>
  <c r="U220" i="6"/>
  <c r="U212" i="6"/>
  <c r="S212" i="6"/>
  <c r="T212" i="6"/>
  <c r="T204" i="6"/>
  <c r="U204" i="6"/>
  <c r="S204" i="6"/>
  <c r="T182" i="6"/>
  <c r="S182" i="6"/>
  <c r="U182" i="6"/>
  <c r="U145" i="6"/>
  <c r="S145" i="6"/>
  <c r="T145" i="6"/>
  <c r="T137" i="6"/>
  <c r="U137" i="6"/>
  <c r="S137" i="6"/>
  <c r="T120" i="6"/>
  <c r="U120" i="6"/>
  <c r="S120" i="6"/>
  <c r="T87" i="6"/>
  <c r="S87" i="6"/>
  <c r="U87" i="6"/>
  <c r="T70" i="6"/>
  <c r="U70" i="6"/>
  <c r="S70" i="6"/>
  <c r="T22" i="6"/>
  <c r="S22" i="6"/>
  <c r="U22" i="6"/>
  <c r="T12" i="6"/>
  <c r="U12" i="6"/>
  <c r="S12" i="6"/>
  <c r="S388" i="6"/>
  <c r="T388" i="6"/>
  <c r="U388" i="6"/>
  <c r="U364" i="6"/>
  <c r="S364" i="6"/>
  <c r="T364" i="6"/>
  <c r="U345" i="6"/>
  <c r="T345" i="6"/>
  <c r="S345" i="6"/>
  <c r="U315" i="6"/>
  <c r="S315" i="6"/>
  <c r="T315" i="6"/>
  <c r="S299" i="6"/>
  <c r="T299" i="6"/>
  <c r="U299" i="6"/>
  <c r="U288" i="6"/>
  <c r="S288" i="6"/>
  <c r="T288" i="6"/>
  <c r="U253" i="6"/>
  <c r="S253" i="6"/>
  <c r="T253" i="6"/>
  <c r="T196" i="6"/>
  <c r="U196" i="6"/>
  <c r="S196" i="6"/>
  <c r="T189" i="6"/>
  <c r="U189" i="6"/>
  <c r="S189" i="6"/>
  <c r="T159" i="6"/>
  <c r="S159" i="6"/>
  <c r="U159" i="6"/>
  <c r="S112" i="6"/>
  <c r="T112" i="6"/>
  <c r="U112" i="6"/>
  <c r="S103" i="6"/>
  <c r="T103" i="6"/>
  <c r="U103" i="6"/>
  <c r="U86" i="6"/>
  <c r="S86" i="6"/>
  <c r="T86" i="6"/>
  <c r="T60" i="6"/>
  <c r="U60" i="6"/>
  <c r="S60" i="6"/>
  <c r="T11" i="6"/>
  <c r="S11" i="6"/>
  <c r="U11" i="6"/>
  <c r="T246" i="6"/>
  <c r="U246" i="6"/>
  <c r="S246" i="6"/>
  <c r="T233" i="6"/>
  <c r="S233" i="6"/>
  <c r="U233" i="6"/>
  <c r="S218" i="6"/>
  <c r="T218" i="6"/>
  <c r="U218" i="6"/>
  <c r="S211" i="6"/>
  <c r="U211" i="6"/>
  <c r="T211" i="6"/>
  <c r="U181" i="6"/>
  <c r="S181" i="6"/>
  <c r="T181" i="6"/>
  <c r="T173" i="6"/>
  <c r="U173" i="6"/>
  <c r="S173" i="6"/>
  <c r="S143" i="6"/>
  <c r="U143" i="6"/>
  <c r="T143" i="6"/>
  <c r="T119" i="6"/>
  <c r="U119" i="6"/>
  <c r="S119" i="6"/>
  <c r="T94" i="6"/>
  <c r="S94" i="6"/>
  <c r="U94" i="6"/>
  <c r="S85" i="6"/>
  <c r="T85" i="6"/>
  <c r="U85" i="6"/>
  <c r="U50" i="6"/>
  <c r="T50" i="6"/>
  <c r="S50" i="6"/>
  <c r="U367" i="6"/>
  <c r="T367" i="6"/>
  <c r="S367" i="6"/>
  <c r="U335" i="6"/>
  <c r="T335" i="6"/>
  <c r="S335" i="6"/>
  <c r="U293" i="6"/>
  <c r="T293" i="6"/>
  <c r="S293" i="6"/>
  <c r="U282" i="6"/>
  <c r="T282" i="6"/>
  <c r="S282" i="6"/>
  <c r="T225" i="6"/>
  <c r="S225" i="6"/>
  <c r="U225" i="6"/>
  <c r="T195" i="6"/>
  <c r="U195" i="6"/>
  <c r="S195" i="6"/>
  <c r="U158" i="6"/>
  <c r="S158" i="6"/>
  <c r="T158" i="6"/>
  <c r="T150" i="6"/>
  <c r="U150" i="6"/>
  <c r="S150" i="6"/>
  <c r="T135" i="6"/>
  <c r="S135" i="6"/>
  <c r="U135" i="6"/>
  <c r="S127" i="6"/>
  <c r="U127" i="6"/>
  <c r="T127" i="6"/>
  <c r="T102" i="6"/>
  <c r="S102" i="6"/>
  <c r="U102" i="6"/>
  <c r="T93" i="6"/>
  <c r="S93" i="6"/>
  <c r="U93" i="6"/>
  <c r="S68" i="6"/>
  <c r="U68" i="6"/>
  <c r="T68" i="6"/>
  <c r="S49" i="6"/>
  <c r="T49" i="6"/>
  <c r="U49" i="6"/>
  <c r="T39" i="6"/>
  <c r="S39" i="6"/>
  <c r="U39" i="6"/>
  <c r="S275" i="6"/>
  <c r="U275" i="6"/>
  <c r="T275" i="6"/>
  <c r="S263" i="6"/>
  <c r="U263" i="6"/>
  <c r="T263" i="6"/>
  <c r="T237" i="6"/>
  <c r="S237" i="6"/>
  <c r="U237" i="6"/>
  <c r="T178" i="6"/>
  <c r="S178" i="6"/>
  <c r="U178" i="6"/>
  <c r="T171" i="6"/>
  <c r="S171" i="6"/>
  <c r="U171" i="6"/>
  <c r="T83" i="6"/>
  <c r="U83" i="6"/>
  <c r="S83" i="6"/>
  <c r="U37" i="6"/>
  <c r="S37" i="6"/>
  <c r="T37" i="6"/>
  <c r="T27" i="6"/>
  <c r="S27" i="6"/>
  <c r="U27" i="6"/>
  <c r="U373" i="6"/>
  <c r="S373" i="6"/>
  <c r="T373" i="6"/>
  <c r="U355" i="6"/>
  <c r="T355" i="6"/>
  <c r="S355" i="6"/>
  <c r="T343" i="6"/>
  <c r="S343" i="6"/>
  <c r="U343" i="6"/>
  <c r="U333" i="6"/>
  <c r="T333" i="6"/>
  <c r="S333" i="6"/>
  <c r="U318" i="6"/>
  <c r="S318" i="6"/>
  <c r="T318" i="6"/>
  <c r="T250" i="6"/>
  <c r="S250" i="6"/>
  <c r="U250" i="6"/>
  <c r="T243" i="6"/>
  <c r="U243" i="6"/>
  <c r="S243" i="6"/>
  <c r="U230" i="6"/>
  <c r="T230" i="6"/>
  <c r="S230" i="6"/>
  <c r="T222" i="6"/>
  <c r="U222" i="6"/>
  <c r="S222" i="6"/>
  <c r="U163" i="6"/>
  <c r="T163" i="6"/>
  <c r="S163" i="6"/>
  <c r="T147" i="6"/>
  <c r="S147" i="6"/>
  <c r="U147" i="6"/>
  <c r="T99" i="6"/>
  <c r="S99" i="6"/>
  <c r="U99" i="6"/>
  <c r="S55" i="6"/>
  <c r="U55" i="6"/>
  <c r="T55" i="6"/>
  <c r="T45" i="6"/>
  <c r="S45" i="6"/>
  <c r="U45" i="6"/>
  <c r="S341" i="6"/>
  <c r="T341" i="6"/>
  <c r="U341" i="6"/>
  <c r="T328" i="6"/>
  <c r="S328" i="6"/>
  <c r="U328" i="6"/>
  <c r="U321" i="6"/>
  <c r="S321" i="6"/>
  <c r="T321" i="6"/>
  <c r="T314" i="6"/>
  <c r="U314" i="6"/>
  <c r="S314" i="6"/>
  <c r="U303" i="6"/>
  <c r="T303" i="6"/>
  <c r="S303" i="6"/>
  <c r="T296" i="6"/>
  <c r="U296" i="6"/>
  <c r="S296" i="6"/>
  <c r="U285" i="6"/>
  <c r="T285" i="6"/>
  <c r="S285" i="6"/>
  <c r="S278" i="6"/>
  <c r="T278" i="6"/>
  <c r="U278" i="6"/>
  <c r="U270" i="6"/>
  <c r="T270" i="6"/>
  <c r="S270" i="6"/>
  <c r="S266" i="6"/>
  <c r="T266" i="6"/>
  <c r="U266" i="6"/>
  <c r="T210" i="6"/>
  <c r="U210" i="6"/>
  <c r="S210" i="6"/>
  <c r="T201" i="6"/>
  <c r="S201" i="6"/>
  <c r="U201" i="6"/>
  <c r="T197" i="6"/>
  <c r="S197" i="6"/>
  <c r="U197" i="6"/>
  <c r="S188" i="6"/>
  <c r="U188" i="6"/>
  <c r="T188" i="6"/>
  <c r="T184" i="6"/>
  <c r="S184" i="6"/>
  <c r="U184" i="6"/>
  <c r="S175" i="6"/>
  <c r="U175" i="6"/>
  <c r="T175" i="6"/>
  <c r="T153" i="6"/>
  <c r="U153" i="6"/>
  <c r="S153" i="6"/>
  <c r="U140" i="6"/>
  <c r="T140" i="6"/>
  <c r="S140" i="6"/>
  <c r="S121" i="6"/>
  <c r="T121" i="6"/>
  <c r="U121" i="6"/>
  <c r="S116" i="6"/>
  <c r="U116" i="6"/>
  <c r="T116" i="6"/>
  <c r="T111" i="6"/>
  <c r="S111" i="6"/>
  <c r="U111" i="6"/>
  <c r="S67" i="6"/>
  <c r="U67" i="6"/>
  <c r="T67" i="6"/>
  <c r="S62" i="6"/>
  <c r="T62" i="6"/>
  <c r="U62" i="6"/>
  <c r="T57" i="6"/>
  <c r="S57" i="6"/>
  <c r="U57" i="6"/>
  <c r="S13" i="6"/>
  <c r="T13" i="6"/>
  <c r="U13" i="6"/>
  <c r="S8" i="6"/>
  <c r="U8" i="6"/>
  <c r="T8" i="6"/>
  <c r="T344" i="6"/>
  <c r="U344" i="6"/>
  <c r="S344" i="6"/>
  <c r="S331" i="6"/>
  <c r="T331" i="6"/>
  <c r="U331" i="6"/>
  <c r="T240" i="6"/>
  <c r="U240" i="6"/>
  <c r="S240" i="6"/>
  <c r="T227" i="6"/>
  <c r="S227" i="6"/>
  <c r="U227" i="6"/>
  <c r="T214" i="6"/>
  <c r="S214" i="6"/>
  <c r="U214" i="6"/>
  <c r="T192" i="6"/>
  <c r="S192" i="6"/>
  <c r="U192" i="6"/>
  <c r="T183" i="6"/>
  <c r="S183" i="6"/>
  <c r="U183" i="6"/>
  <c r="U179" i="6"/>
  <c r="S179" i="6"/>
  <c r="T179" i="6"/>
  <c r="S170" i="6"/>
  <c r="T170" i="6"/>
  <c r="U170" i="6"/>
  <c r="U166" i="6"/>
  <c r="S166" i="6"/>
  <c r="T166" i="6"/>
  <c r="S157" i="6"/>
  <c r="T157" i="6"/>
  <c r="U157" i="6"/>
  <c r="T106" i="6"/>
  <c r="S106" i="6"/>
  <c r="U106" i="6"/>
  <c r="T96" i="6"/>
  <c r="U96" i="6"/>
  <c r="S96" i="6"/>
  <c r="S91" i="6"/>
  <c r="U91" i="6"/>
  <c r="T91" i="6"/>
  <c r="T81" i="6"/>
  <c r="S81" i="6"/>
  <c r="U81" i="6"/>
  <c r="T47" i="6"/>
  <c r="S47" i="6"/>
  <c r="U47" i="6"/>
  <c r="S32" i="6"/>
  <c r="U32" i="6"/>
  <c r="T32" i="6"/>
  <c r="T337" i="6"/>
  <c r="U337" i="6"/>
  <c r="S337" i="6"/>
  <c r="U327" i="6"/>
  <c r="T327" i="6"/>
  <c r="S327" i="6"/>
  <c r="U273" i="6"/>
  <c r="T273" i="6"/>
  <c r="S273" i="6"/>
  <c r="S269" i="6"/>
  <c r="U269" i="6"/>
  <c r="T269" i="6"/>
  <c r="U261" i="6"/>
  <c r="T261" i="6"/>
  <c r="S261" i="6"/>
  <c r="U248" i="6"/>
  <c r="T248" i="6"/>
  <c r="S248" i="6"/>
  <c r="U235" i="6"/>
  <c r="T235" i="6"/>
  <c r="S235" i="6"/>
  <c r="T174" i="6"/>
  <c r="U174" i="6"/>
  <c r="S174" i="6"/>
  <c r="T165" i="6"/>
  <c r="S165" i="6"/>
  <c r="U165" i="6"/>
  <c r="T161" i="6"/>
  <c r="U161" i="6"/>
  <c r="S161" i="6"/>
  <c r="S152" i="6"/>
  <c r="U152" i="6"/>
  <c r="T152" i="6"/>
  <c r="T148" i="6"/>
  <c r="U148" i="6"/>
  <c r="S148" i="6"/>
  <c r="S139" i="6"/>
  <c r="U139" i="6"/>
  <c r="T139" i="6"/>
  <c r="T125" i="6"/>
  <c r="U125" i="6"/>
  <c r="S125" i="6"/>
  <c r="U110" i="6"/>
  <c r="T110" i="6"/>
  <c r="S110" i="6"/>
  <c r="T76" i="6"/>
  <c r="U76" i="6"/>
  <c r="S76" i="6"/>
  <c r="T66" i="6"/>
  <c r="U66" i="6"/>
  <c r="S66" i="6"/>
  <c r="U61" i="6"/>
  <c r="T61" i="6"/>
  <c r="S61" i="6"/>
  <c r="T51" i="6"/>
  <c r="U51" i="6"/>
  <c r="S51" i="6"/>
  <c r="T17" i="6"/>
  <c r="U17" i="6"/>
  <c r="S17" i="6"/>
  <c r="S31" i="6"/>
  <c r="T31" i="6"/>
  <c r="U31" i="6"/>
  <c r="S26" i="6"/>
  <c r="T26" i="6"/>
  <c r="U26" i="6"/>
  <c r="T21" i="6"/>
  <c r="S21" i="6"/>
  <c r="U21" i="6"/>
  <c r="U339" i="6"/>
  <c r="T339" i="6"/>
  <c r="S339" i="6"/>
  <c r="S326" i="6"/>
  <c r="T326" i="6"/>
  <c r="U326" i="6"/>
  <c r="T255" i="6"/>
  <c r="S255" i="6"/>
  <c r="U255" i="6"/>
  <c r="T251" i="6"/>
  <c r="U251" i="6"/>
  <c r="S251" i="6"/>
  <c r="S242" i="6"/>
  <c r="T242" i="6"/>
  <c r="U242" i="6"/>
  <c r="T238" i="6"/>
  <c r="U238" i="6"/>
  <c r="S238" i="6"/>
  <c r="S229" i="6"/>
  <c r="T229" i="6"/>
  <c r="U229" i="6"/>
  <c r="T168" i="6"/>
  <c r="U168" i="6"/>
  <c r="S168" i="6"/>
  <c r="T155" i="6"/>
  <c r="S155" i="6"/>
  <c r="U155" i="6"/>
  <c r="T142" i="6"/>
  <c r="U142" i="6"/>
  <c r="S142" i="6"/>
  <c r="U133" i="6"/>
  <c r="S133" i="6"/>
  <c r="T133" i="6"/>
  <c r="T123" i="6"/>
  <c r="U123" i="6"/>
  <c r="S123" i="6"/>
  <c r="U89" i="6"/>
  <c r="S89" i="6"/>
  <c r="T89" i="6"/>
  <c r="U74" i="6"/>
  <c r="S74" i="6"/>
  <c r="T74" i="6"/>
  <c r="U40" i="6"/>
  <c r="S40" i="6"/>
  <c r="T40" i="6"/>
  <c r="T30" i="6"/>
  <c r="S30" i="6"/>
  <c r="U30" i="6"/>
  <c r="U25" i="6"/>
  <c r="T25" i="6"/>
  <c r="S25" i="6"/>
  <c r="T15" i="6"/>
  <c r="U15" i="6"/>
  <c r="S15" i="6"/>
  <c r="T228" i="6"/>
  <c r="S228" i="6"/>
  <c r="U228" i="6"/>
  <c r="T219" i="6"/>
  <c r="S219" i="6"/>
  <c r="U219" i="6"/>
  <c r="U215" i="6"/>
  <c r="S215" i="6"/>
  <c r="T215" i="6"/>
  <c r="S206" i="6"/>
  <c r="T206" i="6"/>
  <c r="U206" i="6"/>
  <c r="U202" i="6"/>
  <c r="T202" i="6"/>
  <c r="S202" i="6"/>
  <c r="S193" i="6"/>
  <c r="T193" i="6"/>
  <c r="U193" i="6"/>
  <c r="U122" i="6"/>
  <c r="S122" i="6"/>
  <c r="T122" i="6"/>
  <c r="T107" i="6"/>
  <c r="S107" i="6"/>
  <c r="U107" i="6"/>
  <c r="U73" i="6"/>
  <c r="T73" i="6"/>
  <c r="S73" i="6"/>
  <c r="T63" i="6"/>
  <c r="U63" i="6"/>
  <c r="S63" i="6"/>
  <c r="T58" i="6"/>
  <c r="U58" i="6"/>
  <c r="S58" i="6"/>
  <c r="T48" i="6"/>
  <c r="U48" i="6"/>
  <c r="S48" i="6"/>
  <c r="U14" i="6"/>
  <c r="S14" i="6"/>
  <c r="T14" i="6"/>
  <c r="U322" i="6"/>
  <c r="T322" i="6"/>
  <c r="S322" i="6"/>
  <c r="S319" i="6"/>
  <c r="U319" i="6"/>
  <c r="T319" i="6"/>
  <c r="U316" i="6"/>
  <c r="S316" i="6"/>
  <c r="T316" i="6"/>
  <c r="S313" i="6"/>
  <c r="U313" i="6"/>
  <c r="T313" i="6"/>
  <c r="S310" i="6"/>
  <c r="T310" i="6"/>
  <c r="U310" i="6"/>
  <c r="T307" i="6"/>
  <c r="S307" i="6"/>
  <c r="U307" i="6"/>
  <c r="U304" i="6"/>
  <c r="T304" i="6"/>
  <c r="S304" i="6"/>
  <c r="S301" i="6"/>
  <c r="U301" i="6"/>
  <c r="T301" i="6"/>
  <c r="U298" i="6"/>
  <c r="S298" i="6"/>
  <c r="T298" i="6"/>
  <c r="S295" i="6"/>
  <c r="U295" i="6"/>
  <c r="T295" i="6"/>
  <c r="S292" i="6"/>
  <c r="T292" i="6"/>
  <c r="U292" i="6"/>
  <c r="S289" i="6"/>
  <c r="U289" i="6"/>
  <c r="T289" i="6"/>
  <c r="U286" i="6"/>
  <c r="S286" i="6"/>
  <c r="T286" i="6"/>
  <c r="S283" i="6"/>
  <c r="T283" i="6"/>
  <c r="U283" i="6"/>
  <c r="U280" i="6"/>
  <c r="S280" i="6"/>
  <c r="T280" i="6"/>
  <c r="S277" i="6"/>
  <c r="U277" i="6"/>
  <c r="T277" i="6"/>
  <c r="S274" i="6"/>
  <c r="U274" i="6"/>
  <c r="T274" i="6"/>
  <c r="U271" i="6"/>
  <c r="T271" i="6"/>
  <c r="S271" i="6"/>
  <c r="T268" i="6"/>
  <c r="U268" i="6"/>
  <c r="S268" i="6"/>
  <c r="S265" i="6"/>
  <c r="U265" i="6"/>
  <c r="T265" i="6"/>
  <c r="S262" i="6"/>
  <c r="U262" i="6"/>
  <c r="T262" i="6"/>
  <c r="U259" i="6"/>
  <c r="S259" i="6"/>
  <c r="T259" i="6"/>
  <c r="T249" i="6"/>
  <c r="S249" i="6"/>
  <c r="U249" i="6"/>
  <c r="S236" i="6"/>
  <c r="U236" i="6"/>
  <c r="T236" i="6"/>
  <c r="U223" i="6"/>
  <c r="S223" i="6"/>
  <c r="T223" i="6"/>
  <c r="T213" i="6"/>
  <c r="S213" i="6"/>
  <c r="U213" i="6"/>
  <c r="S200" i="6"/>
  <c r="U200" i="6"/>
  <c r="T200" i="6"/>
  <c r="S187" i="6"/>
  <c r="U187" i="6"/>
  <c r="T187" i="6"/>
  <c r="T177" i="6"/>
  <c r="U177" i="6"/>
  <c r="S177" i="6"/>
  <c r="U164" i="6"/>
  <c r="S164" i="6"/>
  <c r="T164" i="6"/>
  <c r="S151" i="6"/>
  <c r="T151" i="6"/>
  <c r="U151" i="6"/>
  <c r="T141" i="6"/>
  <c r="S141" i="6"/>
  <c r="U141" i="6"/>
  <c r="S128" i="6"/>
  <c r="T128" i="6"/>
  <c r="U128" i="6"/>
  <c r="S115" i="6"/>
  <c r="U115" i="6"/>
  <c r="T115" i="6"/>
  <c r="T105" i="6"/>
  <c r="S105" i="6"/>
  <c r="U105" i="6"/>
  <c r="T92" i="6"/>
  <c r="S92" i="6"/>
  <c r="U92" i="6"/>
  <c r="S79" i="6"/>
  <c r="T79" i="6"/>
  <c r="U79" i="6"/>
  <c r="T69" i="6"/>
  <c r="S69" i="6"/>
  <c r="U69" i="6"/>
  <c r="S56" i="6"/>
  <c r="U56" i="6"/>
  <c r="T56" i="6"/>
  <c r="T43" i="6"/>
  <c r="U43" i="6"/>
  <c r="S43" i="6"/>
  <c r="T33" i="6"/>
  <c r="U33" i="6"/>
  <c r="S33" i="6"/>
  <c r="S20" i="6"/>
  <c r="T20" i="6"/>
  <c r="U20" i="6"/>
  <c r="S7" i="6"/>
  <c r="U7" i="6"/>
  <c r="T7" i="6"/>
  <c r="T252" i="6"/>
  <c r="S252" i="6"/>
  <c r="U252" i="6"/>
  <c r="S239" i="6"/>
  <c r="T239" i="6"/>
  <c r="U239" i="6"/>
  <c r="S226" i="6"/>
  <c r="T226" i="6"/>
  <c r="U226" i="6"/>
  <c r="T216" i="6"/>
  <c r="S216" i="6"/>
  <c r="U216" i="6"/>
  <c r="S203" i="6"/>
  <c r="T203" i="6"/>
  <c r="U203" i="6"/>
  <c r="S190" i="6"/>
  <c r="T190" i="6"/>
  <c r="U190" i="6"/>
  <c r="T180" i="6"/>
  <c r="S180" i="6"/>
  <c r="U180" i="6"/>
  <c r="S167" i="6"/>
  <c r="T167" i="6"/>
  <c r="U167" i="6"/>
  <c r="S154" i="6"/>
  <c r="T154" i="6"/>
  <c r="U154" i="6"/>
  <c r="T144" i="6"/>
  <c r="S144" i="6"/>
  <c r="U144" i="6"/>
  <c r="S131" i="6"/>
  <c r="U131" i="6"/>
  <c r="T131" i="6"/>
  <c r="S118" i="6"/>
  <c r="T118" i="6"/>
  <c r="U118" i="6"/>
  <c r="T108" i="6"/>
  <c r="S108" i="6"/>
  <c r="U108" i="6"/>
  <c r="S95" i="6"/>
  <c r="T95" i="6"/>
  <c r="U95" i="6"/>
  <c r="S82" i="6"/>
  <c r="U82" i="6"/>
  <c r="T82" i="6"/>
  <c r="T72" i="6"/>
  <c r="S72" i="6"/>
  <c r="U72" i="6"/>
  <c r="S59" i="6"/>
  <c r="T59" i="6"/>
  <c r="U59" i="6"/>
  <c r="S46" i="6"/>
  <c r="T46" i="6"/>
  <c r="U46" i="6"/>
  <c r="T36" i="6"/>
  <c r="S36" i="6"/>
  <c r="U36" i="6"/>
  <c r="S23" i="6"/>
  <c r="U23" i="6"/>
  <c r="T23" i="6"/>
  <c r="S10" i="6"/>
  <c r="T10" i="6"/>
  <c r="U10" i="6"/>
  <c r="T124" i="6"/>
  <c r="U124" i="6"/>
  <c r="S124" i="6"/>
  <c r="T114" i="6"/>
  <c r="U114" i="6"/>
  <c r="S114" i="6"/>
  <c r="T101" i="6"/>
  <c r="U101" i="6"/>
  <c r="S101" i="6"/>
  <c r="T88" i="6"/>
  <c r="U88" i="6"/>
  <c r="S88" i="6"/>
  <c r="T78" i="6"/>
  <c r="U78" i="6"/>
  <c r="S78" i="6"/>
  <c r="T65" i="6"/>
  <c r="U65" i="6"/>
  <c r="S65" i="6"/>
  <c r="T52" i="6"/>
  <c r="U52" i="6"/>
  <c r="S52" i="6"/>
  <c r="T42" i="6"/>
  <c r="U42" i="6"/>
  <c r="S42" i="6"/>
  <c r="T29" i="6"/>
  <c r="U29" i="6"/>
  <c r="S29" i="6"/>
  <c r="T16" i="6"/>
  <c r="U16" i="6"/>
  <c r="S16" i="6"/>
  <c r="T6" i="6"/>
  <c r="U6" i="6"/>
  <c r="S6" i="6"/>
  <c r="T257" i="6"/>
  <c r="U257" i="6"/>
  <c r="S257" i="6"/>
  <c r="T244" i="6"/>
  <c r="U244" i="6"/>
  <c r="S244" i="6"/>
  <c r="T234" i="6"/>
  <c r="U234" i="6"/>
  <c r="S234" i="6"/>
  <c r="U221" i="6"/>
  <c r="S221" i="6"/>
  <c r="T221" i="6"/>
  <c r="U208" i="6"/>
  <c r="S208" i="6"/>
  <c r="T208" i="6"/>
  <c r="T198" i="6"/>
  <c r="U198" i="6"/>
  <c r="S198" i="6"/>
  <c r="T185" i="6"/>
  <c r="S185" i="6"/>
  <c r="U185" i="6"/>
  <c r="T172" i="6"/>
  <c r="U172" i="6"/>
  <c r="S172" i="6"/>
  <c r="T162" i="6"/>
  <c r="U162" i="6"/>
  <c r="S162" i="6"/>
  <c r="T149" i="6"/>
  <c r="S149" i="6"/>
  <c r="U149" i="6"/>
  <c r="T136" i="6"/>
  <c r="S136" i="6"/>
  <c r="U136" i="6"/>
  <c r="T126" i="6"/>
  <c r="U126" i="6"/>
  <c r="S126" i="6"/>
  <c r="S113" i="6"/>
  <c r="U113" i="6"/>
  <c r="T113" i="6"/>
  <c r="S100" i="6"/>
  <c r="U100" i="6"/>
  <c r="T100" i="6"/>
  <c r="T90" i="6"/>
  <c r="S90" i="6"/>
  <c r="U90" i="6"/>
  <c r="T77" i="6"/>
  <c r="S77" i="6"/>
  <c r="U77" i="6"/>
  <c r="S64" i="6"/>
  <c r="U64" i="6"/>
  <c r="T64" i="6"/>
  <c r="T54" i="6"/>
  <c r="S54" i="6"/>
  <c r="U54" i="6"/>
  <c r="S41" i="6"/>
  <c r="U41" i="6"/>
  <c r="T41" i="6"/>
  <c r="T28" i="6"/>
  <c r="S28" i="6"/>
  <c r="U28" i="6"/>
  <c r="T18" i="6"/>
  <c r="U18" i="6"/>
  <c r="S18" i="6"/>
  <c r="S5" i="6"/>
  <c r="U5" i="6"/>
  <c r="T5" i="6"/>
  <c r="S3" i="6"/>
  <c r="T3" i="6"/>
  <c r="U3" i="6"/>
  <c r="G3" i="6"/>
  <c r="K4" i="6"/>
  <c r="G6" i="6"/>
  <c r="K7" i="6"/>
  <c r="G9" i="6"/>
  <c r="K10" i="6"/>
  <c r="G12" i="6"/>
  <c r="K13" i="6"/>
  <c r="G15" i="6"/>
  <c r="K16" i="6"/>
  <c r="G18" i="6"/>
  <c r="K19" i="6"/>
  <c r="G21" i="6"/>
  <c r="K22" i="6"/>
  <c r="G24" i="6"/>
  <c r="K25" i="6"/>
  <c r="G27" i="6"/>
  <c r="K28" i="6"/>
  <c r="I3" i="6"/>
  <c r="M4" i="6"/>
  <c r="I6" i="6"/>
  <c r="M7" i="6"/>
  <c r="I9" i="6"/>
  <c r="M10" i="6"/>
  <c r="I12" i="6"/>
  <c r="M13" i="6"/>
  <c r="I15" i="6"/>
  <c r="M16" i="6"/>
  <c r="I18" i="6"/>
  <c r="M19" i="6"/>
  <c r="I21" i="6"/>
  <c r="M22" i="6"/>
  <c r="I24" i="6"/>
  <c r="M25" i="6"/>
  <c r="I27" i="6"/>
  <c r="M28" i="6"/>
  <c r="I30" i="6"/>
  <c r="K3" i="6"/>
  <c r="G5" i="6"/>
  <c r="K6" i="6"/>
  <c r="G8" i="6"/>
  <c r="K9" i="6"/>
  <c r="G11" i="6"/>
  <c r="K12" i="6"/>
  <c r="G14" i="6"/>
  <c r="K15" i="6"/>
  <c r="G17" i="6"/>
  <c r="K18" i="6"/>
  <c r="G20" i="6"/>
  <c r="K21" i="6"/>
  <c r="G23" i="6"/>
  <c r="K24" i="6"/>
  <c r="G26" i="6"/>
  <c r="K27" i="6"/>
  <c r="G29" i="6"/>
  <c r="K30" i="6"/>
  <c r="G32" i="6"/>
  <c r="K33" i="6"/>
  <c r="G35" i="6"/>
  <c r="K36" i="6"/>
  <c r="G38" i="6"/>
  <c r="K39" i="6"/>
  <c r="G41" i="6"/>
  <c r="K42" i="6"/>
  <c r="G44" i="6"/>
  <c r="K45" i="6"/>
  <c r="G47" i="6"/>
  <c r="K48" i="6"/>
  <c r="G50" i="6"/>
  <c r="K51" i="6"/>
  <c r="G53" i="6"/>
  <c r="K54" i="6"/>
  <c r="G56" i="6"/>
  <c r="K57" i="6"/>
  <c r="G59" i="6"/>
  <c r="K60" i="6"/>
  <c r="G62" i="6"/>
  <c r="K63" i="6"/>
  <c r="G65" i="6"/>
  <c r="K66" i="6"/>
  <c r="G68" i="6"/>
  <c r="K69" i="6"/>
  <c r="G71" i="6"/>
  <c r="K72" i="6"/>
  <c r="G74" i="6"/>
  <c r="K75" i="6"/>
  <c r="G77" i="6"/>
  <c r="K78" i="6"/>
  <c r="G80" i="6"/>
  <c r="K81" i="6"/>
  <c r="G83" i="6"/>
  <c r="K84" i="6"/>
  <c r="G86" i="6"/>
  <c r="K87" i="6"/>
  <c r="G89" i="6"/>
  <c r="K90" i="6"/>
  <c r="G92" i="6"/>
  <c r="K93" i="6"/>
  <c r="G95" i="6"/>
  <c r="K96" i="6"/>
  <c r="G98" i="6"/>
  <c r="K99" i="6"/>
  <c r="G101" i="6"/>
  <c r="K102" i="6"/>
  <c r="L6" i="6"/>
  <c r="L18" i="6"/>
  <c r="H23" i="6"/>
  <c r="L24" i="6"/>
  <c r="L27" i="6"/>
  <c r="L30" i="6"/>
  <c r="H32" i="6"/>
  <c r="H35" i="6"/>
  <c r="L36" i="6"/>
  <c r="H38" i="6"/>
  <c r="L39" i="6"/>
  <c r="H41" i="6"/>
  <c r="H44" i="6"/>
  <c r="L45" i="6"/>
  <c r="H47" i="6"/>
  <c r="L48" i="6"/>
  <c r="H50" i="6"/>
  <c r="L51" i="6"/>
  <c r="L3" i="6"/>
  <c r="H5" i="6"/>
  <c r="H8" i="6"/>
  <c r="L9" i="6"/>
  <c r="H11" i="6"/>
  <c r="L12" i="6"/>
  <c r="H14" i="6"/>
  <c r="L15" i="6"/>
  <c r="H17" i="6"/>
  <c r="H20" i="6"/>
  <c r="L21" i="6"/>
  <c r="H26" i="6"/>
  <c r="H29" i="6"/>
  <c r="L33" i="6"/>
  <c r="M3" i="6"/>
  <c r="I5" i="6"/>
  <c r="M6" i="6"/>
  <c r="I8" i="6"/>
  <c r="M9" i="6"/>
  <c r="I11" i="6"/>
  <c r="M12" i="6"/>
  <c r="I14" i="6"/>
  <c r="M15" i="6"/>
  <c r="I17" i="6"/>
  <c r="M18" i="6"/>
  <c r="N3" i="6"/>
  <c r="J5" i="6"/>
  <c r="N6" i="6"/>
  <c r="J8" i="6"/>
  <c r="N9" i="6"/>
  <c r="J11" i="6"/>
  <c r="N12" i="6"/>
  <c r="J14" i="6"/>
  <c r="N15" i="6"/>
  <c r="J17" i="6"/>
  <c r="N18" i="6"/>
  <c r="J20" i="6"/>
  <c r="N21" i="6"/>
  <c r="J23" i="6"/>
  <c r="N24" i="6"/>
  <c r="J26" i="6"/>
  <c r="I4" i="6"/>
  <c r="M5" i="6"/>
  <c r="I7" i="6"/>
  <c r="M8" i="6"/>
  <c r="I10" i="6"/>
  <c r="M11" i="6"/>
  <c r="I13" i="6"/>
  <c r="M14" i="6"/>
  <c r="I16" i="6"/>
  <c r="M17" i="6"/>
  <c r="I19" i="6"/>
  <c r="M20" i="6"/>
  <c r="I22" i="6"/>
  <c r="M23" i="6"/>
  <c r="I25" i="6"/>
  <c r="M26" i="6"/>
  <c r="I28" i="6"/>
  <c r="M29" i="6"/>
  <c r="I31" i="6"/>
  <c r="M32" i="6"/>
  <c r="I34" i="6"/>
  <c r="M35" i="6"/>
  <c r="I37" i="6"/>
  <c r="M38" i="6"/>
  <c r="I40" i="6"/>
  <c r="M41" i="6"/>
  <c r="I43" i="6"/>
  <c r="M44" i="6"/>
  <c r="I46" i="6"/>
  <c r="M47" i="6"/>
  <c r="I49" i="6"/>
  <c r="M50" i="6"/>
  <c r="I52" i="6"/>
  <c r="M53" i="6"/>
  <c r="I55" i="6"/>
  <c r="M56" i="6"/>
  <c r="I58" i="6"/>
  <c r="M59" i="6"/>
  <c r="I61" i="6"/>
  <c r="M62" i="6"/>
  <c r="I64" i="6"/>
  <c r="M65" i="6"/>
  <c r="I67" i="6"/>
  <c r="M68" i="6"/>
  <c r="I70" i="6"/>
  <c r="M71" i="6"/>
  <c r="I73" i="6"/>
  <c r="M74" i="6"/>
  <c r="I76" i="6"/>
  <c r="M77" i="6"/>
  <c r="I79" i="6"/>
  <c r="M80" i="6"/>
  <c r="I82" i="6"/>
  <c r="M83" i="6"/>
  <c r="I85" i="6"/>
  <c r="M86" i="6"/>
  <c r="I88" i="6"/>
  <c r="M89" i="6"/>
  <c r="I91" i="6"/>
  <c r="M92" i="6"/>
  <c r="I94" i="6"/>
  <c r="M95" i="6"/>
  <c r="I97" i="6"/>
  <c r="M98" i="6"/>
  <c r="I100" i="6"/>
  <c r="M101" i="6"/>
  <c r="J4" i="6"/>
  <c r="N5" i="6"/>
  <c r="J7" i="6"/>
  <c r="N8" i="6"/>
  <c r="J10" i="6"/>
  <c r="N11" i="6"/>
  <c r="J13" i="6"/>
  <c r="N14" i="6"/>
  <c r="J16" i="6"/>
  <c r="N17" i="6"/>
  <c r="J19" i="6"/>
  <c r="N20" i="6"/>
  <c r="J22" i="6"/>
  <c r="N23" i="6"/>
  <c r="J25" i="6"/>
  <c r="N26" i="6"/>
  <c r="H3" i="6"/>
  <c r="L7" i="6"/>
  <c r="H12" i="6"/>
  <c r="L16" i="6"/>
  <c r="L20" i="6"/>
  <c r="J24" i="6"/>
  <c r="N27" i="6"/>
  <c r="H30" i="6"/>
  <c r="J32" i="6"/>
  <c r="J34" i="6"/>
  <c r="I36" i="6"/>
  <c r="J38" i="6"/>
  <c r="J40" i="6"/>
  <c r="I42" i="6"/>
  <c r="I44" i="6"/>
  <c r="H46" i="6"/>
  <c r="H48" i="6"/>
  <c r="I50" i="6"/>
  <c r="H52" i="6"/>
  <c r="G54" i="6"/>
  <c r="M55" i="6"/>
  <c r="L57" i="6"/>
  <c r="J59" i="6"/>
  <c r="H61" i="6"/>
  <c r="G63" i="6"/>
  <c r="M64" i="6"/>
  <c r="L66" i="6"/>
  <c r="J68" i="6"/>
  <c r="H70" i="6"/>
  <c r="G72" i="6"/>
  <c r="M73" i="6"/>
  <c r="L75" i="6"/>
  <c r="J77" i="6"/>
  <c r="H79" i="6"/>
  <c r="G81" i="6"/>
  <c r="M82" i="6"/>
  <c r="L84" i="6"/>
  <c r="J86" i="6"/>
  <c r="H88" i="6"/>
  <c r="G90" i="6"/>
  <c r="M91" i="6"/>
  <c r="L93" i="6"/>
  <c r="J95" i="6"/>
  <c r="H97" i="6"/>
  <c r="G99" i="6"/>
  <c r="M100" i="6"/>
  <c r="L102" i="6"/>
  <c r="H13" i="6"/>
  <c r="J28" i="6"/>
  <c r="M34" i="6"/>
  <c r="M40" i="6"/>
  <c r="L44" i="6"/>
  <c r="L50" i="6"/>
  <c r="I56" i="6"/>
  <c r="L61" i="6"/>
  <c r="G67" i="6"/>
  <c r="J72" i="6"/>
  <c r="N77" i="6"/>
  <c r="I83" i="6"/>
  <c r="L88" i="6"/>
  <c r="I92" i="6"/>
  <c r="L97" i="6"/>
  <c r="L4" i="6"/>
  <c r="L25" i="6"/>
  <c r="G33" i="6"/>
  <c r="G39" i="6"/>
  <c r="N44" i="6"/>
  <c r="N50" i="6"/>
  <c r="J56" i="6"/>
  <c r="M61" i="6"/>
  <c r="H67" i="6"/>
  <c r="L72" i="6"/>
  <c r="M79" i="6"/>
  <c r="H85" i="6"/>
  <c r="H94" i="6"/>
  <c r="J9" i="6"/>
  <c r="H39" i="6"/>
  <c r="K56" i="6"/>
  <c r="M72" i="6"/>
  <c r="N88" i="6"/>
  <c r="J3" i="6"/>
  <c r="N7" i="6"/>
  <c r="J12" i="6"/>
  <c r="N16" i="6"/>
  <c r="H21" i="6"/>
  <c r="M24" i="6"/>
  <c r="G28" i="6"/>
  <c r="J30" i="6"/>
  <c r="K32" i="6"/>
  <c r="K34" i="6"/>
  <c r="J36" i="6"/>
  <c r="K38" i="6"/>
  <c r="K40" i="6"/>
  <c r="J42" i="6"/>
  <c r="J44" i="6"/>
  <c r="J46" i="6"/>
  <c r="I48" i="6"/>
  <c r="J50" i="6"/>
  <c r="J52" i="6"/>
  <c r="H54" i="6"/>
  <c r="N55" i="6"/>
  <c r="M57" i="6"/>
  <c r="K59" i="6"/>
  <c r="J61" i="6"/>
  <c r="H63" i="6"/>
  <c r="N64" i="6"/>
  <c r="M66" i="6"/>
  <c r="K68" i="6"/>
  <c r="J70" i="6"/>
  <c r="H72" i="6"/>
  <c r="N73" i="6"/>
  <c r="M75" i="6"/>
  <c r="K77" i="6"/>
  <c r="J79" i="6"/>
  <c r="H81" i="6"/>
  <c r="N82" i="6"/>
  <c r="M84" i="6"/>
  <c r="K86" i="6"/>
  <c r="J88" i="6"/>
  <c r="H90" i="6"/>
  <c r="N91" i="6"/>
  <c r="M93" i="6"/>
  <c r="K95" i="6"/>
  <c r="J97" i="6"/>
  <c r="H99" i="6"/>
  <c r="N100" i="6"/>
  <c r="M102" i="6"/>
  <c r="L8" i="6"/>
  <c r="L17" i="6"/>
  <c r="H25" i="6"/>
  <c r="N32" i="6"/>
  <c r="N36" i="6"/>
  <c r="M42" i="6"/>
  <c r="M48" i="6"/>
  <c r="J54" i="6"/>
  <c r="N59" i="6"/>
  <c r="I65" i="6"/>
  <c r="L70" i="6"/>
  <c r="G76" i="6"/>
  <c r="J81" i="6"/>
  <c r="N86" i="6"/>
  <c r="G94" i="6"/>
  <c r="J99" i="6"/>
  <c r="H9" i="6"/>
  <c r="G22" i="6"/>
  <c r="G31" i="6"/>
  <c r="G37" i="6"/>
  <c r="N42" i="6"/>
  <c r="N48" i="6"/>
  <c r="L54" i="6"/>
  <c r="G60" i="6"/>
  <c r="J65" i="6"/>
  <c r="M70" i="6"/>
  <c r="H76" i="6"/>
  <c r="L90" i="6"/>
  <c r="J101" i="6"/>
  <c r="J18" i="6"/>
  <c r="I35" i="6"/>
  <c r="N52" i="6"/>
  <c r="H69" i="6"/>
  <c r="M81" i="6"/>
  <c r="H96" i="6"/>
  <c r="G4" i="6"/>
  <c r="K8" i="6"/>
  <c r="G13" i="6"/>
  <c r="K17" i="6"/>
  <c r="J21" i="6"/>
  <c r="G25" i="6"/>
  <c r="H28" i="6"/>
  <c r="M30" i="6"/>
  <c r="L32" i="6"/>
  <c r="L34" i="6"/>
  <c r="M36" i="6"/>
  <c r="L38" i="6"/>
  <c r="L40" i="6"/>
  <c r="L42" i="6"/>
  <c r="K44" i="6"/>
  <c r="K46" i="6"/>
  <c r="J48" i="6"/>
  <c r="K50" i="6"/>
  <c r="K52" i="6"/>
  <c r="I54" i="6"/>
  <c r="H56" i="6"/>
  <c r="N57" i="6"/>
  <c r="L59" i="6"/>
  <c r="K61" i="6"/>
  <c r="I63" i="6"/>
  <c r="H65" i="6"/>
  <c r="N66" i="6"/>
  <c r="L68" i="6"/>
  <c r="K70" i="6"/>
  <c r="I72" i="6"/>
  <c r="H74" i="6"/>
  <c r="N75" i="6"/>
  <c r="L77" i="6"/>
  <c r="K79" i="6"/>
  <c r="I81" i="6"/>
  <c r="H83" i="6"/>
  <c r="N84" i="6"/>
  <c r="L86" i="6"/>
  <c r="K88" i="6"/>
  <c r="I90" i="6"/>
  <c r="H92" i="6"/>
  <c r="N93" i="6"/>
  <c r="L95" i="6"/>
  <c r="K97" i="6"/>
  <c r="I99" i="6"/>
  <c r="H101" i="6"/>
  <c r="N102" i="6"/>
  <c r="H4" i="6"/>
  <c r="M21" i="6"/>
  <c r="N30" i="6"/>
  <c r="N38" i="6"/>
  <c r="L46" i="6"/>
  <c r="L52" i="6"/>
  <c r="G58" i="6"/>
  <c r="J63" i="6"/>
  <c r="N68" i="6"/>
  <c r="I74" i="6"/>
  <c r="L79" i="6"/>
  <c r="G85" i="6"/>
  <c r="J90" i="6"/>
  <c r="N95" i="6"/>
  <c r="I101" i="6"/>
  <c r="L13" i="6"/>
  <c r="H18" i="6"/>
  <c r="L28" i="6"/>
  <c r="N34" i="6"/>
  <c r="N40" i="6"/>
  <c r="M46" i="6"/>
  <c r="M52" i="6"/>
  <c r="H58" i="6"/>
  <c r="L63" i="6"/>
  <c r="G69" i="6"/>
  <c r="J74" i="6"/>
  <c r="G78" i="6"/>
  <c r="G87" i="6"/>
  <c r="L99" i="6"/>
  <c r="H22" i="6"/>
  <c r="H37" i="6"/>
  <c r="G51" i="6"/>
  <c r="H60" i="6"/>
  <c r="N70" i="6"/>
  <c r="N79" i="6"/>
  <c r="K92" i="6"/>
  <c r="K5" i="6"/>
  <c r="G10" i="6"/>
  <c r="K14" i="6"/>
  <c r="G19" i="6"/>
  <c r="L22" i="6"/>
  <c r="I26" i="6"/>
  <c r="I29" i="6"/>
  <c r="J31" i="6"/>
  <c r="I33" i="6"/>
  <c r="J35" i="6"/>
  <c r="J37" i="6"/>
  <c r="I39" i="6"/>
  <c r="J41" i="6"/>
  <c r="H43" i="6"/>
  <c r="H45" i="6"/>
  <c r="I47" i="6"/>
  <c r="H49" i="6"/>
  <c r="H51" i="6"/>
  <c r="H53" i="6"/>
  <c r="N54" i="6"/>
  <c r="L56" i="6"/>
  <c r="K58" i="6"/>
  <c r="I60" i="6"/>
  <c r="H62" i="6"/>
  <c r="N63" i="6"/>
  <c r="L65" i="6"/>
  <c r="K67" i="6"/>
  <c r="I69" i="6"/>
  <c r="H71" i="6"/>
  <c r="N72" i="6"/>
  <c r="L74" i="6"/>
  <c r="K76" i="6"/>
  <c r="I78" i="6"/>
  <c r="H80" i="6"/>
  <c r="N81" i="6"/>
  <c r="L83" i="6"/>
  <c r="K85" i="6"/>
  <c r="I87" i="6"/>
  <c r="H89" i="6"/>
  <c r="N90" i="6"/>
  <c r="L92" i="6"/>
  <c r="K94" i="6"/>
  <c r="I96" i="6"/>
  <c r="H98" i="6"/>
  <c r="N99" i="6"/>
  <c r="L101" i="6"/>
  <c r="I80" i="6"/>
  <c r="J87" i="6"/>
  <c r="N92" i="6"/>
  <c r="J96" i="6"/>
  <c r="G100" i="6"/>
  <c r="J80" i="6"/>
  <c r="L87" i="6"/>
  <c r="G93" i="6"/>
  <c r="J98" i="6"/>
  <c r="G102" i="6"/>
  <c r="J82" i="6"/>
  <c r="K89" i="6"/>
  <c r="N94" i="6"/>
  <c r="H102" i="6"/>
  <c r="H16" i="6"/>
  <c r="I32" i="6"/>
  <c r="H42" i="6"/>
  <c r="N49" i="6"/>
  <c r="I59" i="6"/>
  <c r="I68" i="6"/>
  <c r="I77" i="6"/>
  <c r="I86" i="6"/>
  <c r="I95" i="6"/>
  <c r="L81" i="6"/>
  <c r="M97" i="6"/>
  <c r="H31" i="6"/>
  <c r="I41" i="6"/>
  <c r="M54" i="6"/>
  <c r="K74" i="6"/>
  <c r="J94" i="6"/>
  <c r="L5" i="6"/>
  <c r="H10" i="6"/>
  <c r="L14" i="6"/>
  <c r="H19" i="6"/>
  <c r="N22" i="6"/>
  <c r="K26" i="6"/>
  <c r="J29" i="6"/>
  <c r="K31" i="6"/>
  <c r="J33" i="6"/>
  <c r="K35" i="6"/>
  <c r="K37" i="6"/>
  <c r="J39" i="6"/>
  <c r="K41" i="6"/>
  <c r="J43" i="6"/>
  <c r="I45" i="6"/>
  <c r="J47" i="6"/>
  <c r="J49" i="6"/>
  <c r="I51" i="6"/>
  <c r="I53" i="6"/>
  <c r="G55" i="6"/>
  <c r="N56" i="6"/>
  <c r="L58" i="6"/>
  <c r="J60" i="6"/>
  <c r="I62" i="6"/>
  <c r="G64" i="6"/>
  <c r="N65" i="6"/>
  <c r="L67" i="6"/>
  <c r="J69" i="6"/>
  <c r="I71" i="6"/>
  <c r="G73" i="6"/>
  <c r="N74" i="6"/>
  <c r="L76" i="6"/>
  <c r="J78" i="6"/>
  <c r="G82" i="6"/>
  <c r="N83" i="6"/>
  <c r="L85" i="6"/>
  <c r="I89" i="6"/>
  <c r="G91" i="6"/>
  <c r="L94" i="6"/>
  <c r="I98" i="6"/>
  <c r="N101" i="6"/>
  <c r="H82" i="6"/>
  <c r="H91" i="6"/>
  <c r="L96" i="6"/>
  <c r="H84" i="6"/>
  <c r="J91" i="6"/>
  <c r="M96" i="6"/>
  <c r="K100" i="6"/>
  <c r="H24" i="6"/>
  <c r="G30" i="6"/>
  <c r="I38" i="6"/>
  <c r="G48" i="6"/>
  <c r="J57" i="6"/>
  <c r="J66" i="6"/>
  <c r="J75" i="6"/>
  <c r="J84" i="6"/>
  <c r="J93" i="6"/>
  <c r="J102" i="6"/>
  <c r="J83" i="6"/>
  <c r="N13" i="6"/>
  <c r="G43" i="6"/>
  <c r="N61" i="6"/>
  <c r="K83" i="6"/>
  <c r="K101" i="6"/>
  <c r="H6" i="6"/>
  <c r="L10" i="6"/>
  <c r="H15" i="6"/>
  <c r="L19" i="6"/>
  <c r="I23" i="6"/>
  <c r="L26" i="6"/>
  <c r="K29" i="6"/>
  <c r="L31" i="6"/>
  <c r="M33" i="6"/>
  <c r="L35" i="6"/>
  <c r="L37" i="6"/>
  <c r="M39" i="6"/>
  <c r="L41" i="6"/>
  <c r="K43" i="6"/>
  <c r="J45" i="6"/>
  <c r="K47" i="6"/>
  <c r="K49" i="6"/>
  <c r="J51" i="6"/>
  <c r="J53" i="6"/>
  <c r="H55" i="6"/>
  <c r="G57" i="6"/>
  <c r="M58" i="6"/>
  <c r="L60" i="6"/>
  <c r="J62" i="6"/>
  <c r="H64" i="6"/>
  <c r="G66" i="6"/>
  <c r="M67" i="6"/>
  <c r="L69" i="6"/>
  <c r="J71" i="6"/>
  <c r="H73" i="6"/>
  <c r="G75" i="6"/>
  <c r="M76" i="6"/>
  <c r="L78" i="6"/>
  <c r="G84" i="6"/>
  <c r="M85" i="6"/>
  <c r="J89" i="6"/>
  <c r="M94" i="6"/>
  <c r="H100" i="6"/>
  <c r="N85" i="6"/>
  <c r="K98" i="6"/>
  <c r="I102" i="6"/>
  <c r="L11" i="6"/>
  <c r="M27" i="6"/>
  <c r="H36" i="6"/>
  <c r="N43" i="6"/>
  <c r="G52" i="6"/>
  <c r="G61" i="6"/>
  <c r="G70" i="6"/>
  <c r="G79" i="6"/>
  <c r="G88" i="6"/>
  <c r="G97" i="6"/>
  <c r="M88" i="6"/>
  <c r="N25" i="6"/>
  <c r="G49" i="6"/>
  <c r="M63" i="6"/>
  <c r="H78" i="6"/>
  <c r="M90" i="6"/>
  <c r="J6" i="6"/>
  <c r="N10" i="6"/>
  <c r="J15" i="6"/>
  <c r="N19" i="6"/>
  <c r="K23" i="6"/>
  <c r="H27" i="6"/>
  <c r="L29" i="6"/>
  <c r="M31" i="6"/>
  <c r="N33" i="6"/>
  <c r="N35" i="6"/>
  <c r="M37" i="6"/>
  <c r="N39" i="6"/>
  <c r="N41" i="6"/>
  <c r="L43" i="6"/>
  <c r="M45" i="6"/>
  <c r="L47" i="6"/>
  <c r="L49" i="6"/>
  <c r="M51" i="6"/>
  <c r="K53" i="6"/>
  <c r="J55" i="6"/>
  <c r="H57" i="6"/>
  <c r="N58" i="6"/>
  <c r="M60" i="6"/>
  <c r="K62" i="6"/>
  <c r="J64" i="6"/>
  <c r="H66" i="6"/>
  <c r="N67" i="6"/>
  <c r="M69" i="6"/>
  <c r="K71" i="6"/>
  <c r="J73" i="6"/>
  <c r="H75" i="6"/>
  <c r="N76" i="6"/>
  <c r="M78" i="6"/>
  <c r="K80" i="6"/>
  <c r="M87" i="6"/>
  <c r="H93" i="6"/>
  <c r="J100" i="6"/>
  <c r="H7" i="6"/>
  <c r="H40" i="6"/>
  <c r="L55" i="6"/>
  <c r="N62" i="6"/>
  <c r="L73" i="6"/>
  <c r="L82" i="6"/>
  <c r="L91" i="6"/>
  <c r="N98" i="6"/>
  <c r="J92" i="6"/>
  <c r="N28" i="6"/>
  <c r="H33" i="6"/>
  <c r="N46" i="6"/>
  <c r="J58" i="6"/>
  <c r="K65" i="6"/>
  <c r="J76" i="6"/>
  <c r="H87" i="6"/>
  <c r="M99" i="6"/>
  <c r="G7" i="6"/>
  <c r="K11" i="6"/>
  <c r="G16" i="6"/>
  <c r="I20" i="6"/>
  <c r="L23" i="6"/>
  <c r="J27" i="6"/>
  <c r="N29" i="6"/>
  <c r="N31" i="6"/>
  <c r="G34" i="6"/>
  <c r="G36" i="6"/>
  <c r="N37" i="6"/>
  <c r="G40" i="6"/>
  <c r="G42" i="6"/>
  <c r="M43" i="6"/>
  <c r="N45" i="6"/>
  <c r="N47" i="6"/>
  <c r="M49" i="6"/>
  <c r="N51" i="6"/>
  <c r="L53" i="6"/>
  <c r="K55" i="6"/>
  <c r="I57" i="6"/>
  <c r="H59" i="6"/>
  <c r="N60" i="6"/>
  <c r="L62" i="6"/>
  <c r="K64" i="6"/>
  <c r="I66" i="6"/>
  <c r="H68" i="6"/>
  <c r="N69" i="6"/>
  <c r="L71" i="6"/>
  <c r="K73" i="6"/>
  <c r="I75" i="6"/>
  <c r="H77" i="6"/>
  <c r="N78" i="6"/>
  <c r="L80" i="6"/>
  <c r="K82" i="6"/>
  <c r="I84" i="6"/>
  <c r="H86" i="6"/>
  <c r="N87" i="6"/>
  <c r="L89" i="6"/>
  <c r="K91" i="6"/>
  <c r="I93" i="6"/>
  <c r="H95" i="6"/>
  <c r="N96" i="6"/>
  <c r="L98" i="6"/>
  <c r="K20" i="6"/>
  <c r="H34" i="6"/>
  <c r="G46" i="6"/>
  <c r="N53" i="6"/>
  <c r="L64" i="6"/>
  <c r="N71" i="6"/>
  <c r="N80" i="6"/>
  <c r="N89" i="6"/>
  <c r="L100" i="6"/>
  <c r="G96" i="6"/>
  <c r="N4" i="6"/>
  <c r="G45" i="6"/>
  <c r="J67" i="6"/>
  <c r="J85" i="6"/>
  <c r="N97" i="6"/>
  <c r="N6" i="13"/>
  <c r="M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6" i="13"/>
  <c r="M28" i="13" a="1"/>
  <c r="M28" i="13" l="1"/>
  <c r="N28" i="13"/>
  <c r="H4" i="9" a="1"/>
  <c r="F11" i="9" a="1"/>
  <c r="F9" i="9" a="1"/>
  <c r="F10" i="9" a="1"/>
  <c r="H3" i="9" a="1"/>
  <c r="H2" i="9" a="1"/>
  <c r="I2" i="9" l="1"/>
  <c r="J2" i="9"/>
  <c r="H2" i="9"/>
  <c r="I3" i="9"/>
  <c r="H3" i="9"/>
  <c r="J3" i="9"/>
  <c r="F10" i="9"/>
  <c r="H10" i="9" s="1"/>
  <c r="G10" i="9"/>
  <c r="I10" i="9" s="1"/>
  <c r="G9" i="9"/>
  <c r="I9" i="9" s="1"/>
  <c r="F9" i="9"/>
  <c r="H9" i="9" s="1"/>
  <c r="F11" i="9"/>
  <c r="H11" i="9" s="1"/>
  <c r="G11" i="9"/>
  <c r="I11" i="9" s="1"/>
  <c r="J4" i="9"/>
  <c r="H4" i="9"/>
  <c r="I4" i="9"/>
  <c r="K4" i="9" a="1"/>
  <c r="K2" i="9" a="1"/>
  <c r="K3" i="9" a="1"/>
  <c r="L3" i="9" l="1"/>
  <c r="N3" i="9" s="1"/>
  <c r="K3" i="9"/>
  <c r="M3" i="9" s="1"/>
  <c r="L2" i="9"/>
  <c r="N2" i="9" s="1"/>
  <c r="K2" i="9"/>
  <c r="M2" i="9" s="1"/>
  <c r="K4" i="9"/>
  <c r="M4" i="9" s="1"/>
  <c r="L4" i="9"/>
  <c r="N4" i="9" s="1"/>
  <c r="O2" i="9" l="1" a="1"/>
  <c r="O2" i="9"/>
  <c r="P2" i="9"/>
  <c r="R2" i="9"/>
  <c r="Q2" i="9"/>
</calcChain>
</file>

<file path=xl/comments1.xml><?xml version="1.0" encoding="utf-8"?>
<comments xmlns="http://schemas.openxmlformats.org/spreadsheetml/2006/main">
  <authors>
    <author>microsoft</author>
  </authors>
  <commentList>
    <comment ref="C2" authorId="0">
      <text>
        <r>
          <rPr>
            <b/>
            <sz val="9"/>
            <color indexed="81"/>
            <rFont val="宋体"/>
            <charset val="134"/>
          </rPr>
          <t>第一行为起点里程
最后一行为0</t>
        </r>
        <r>
          <rPr>
            <sz val="9"/>
            <color indexed="81"/>
            <rFont val="宋体"/>
            <charset val="134"/>
          </rPr>
          <t xml:space="preserve">
</t>
        </r>
      </text>
    </comment>
    <comment ref="E2" authorId="0">
      <text>
        <r>
          <rPr>
            <b/>
            <sz val="9"/>
            <color indexed="81"/>
            <rFont val="宋体"/>
            <charset val="134"/>
          </rPr>
          <t>如果是折线,输入一个比较小的数,比如0.001</t>
        </r>
        <r>
          <rPr>
            <sz val="9"/>
            <color indexed="81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<sst xmlns="http://schemas.openxmlformats.org/spreadsheetml/2006/main" count="73" uniqueCount="55">
  <si>
    <t xml:space="preserve">      "B"</t>
  </si>
  <si>
    <t xml:space="preserve">      "L"</t>
  </si>
  <si>
    <t xml:space="preserve">      "x"</t>
  </si>
  <si>
    <t xml:space="preserve">      "y"</t>
  </si>
  <si>
    <t>ΔX</t>
    <phoneticPr fontId="1" type="noConversion"/>
  </si>
  <si>
    <t>ΔY</t>
  </si>
  <si>
    <t>θ</t>
  </si>
  <si>
    <t>scale</t>
  </si>
  <si>
    <t>投影</t>
    <phoneticPr fontId="1" type="noConversion"/>
  </si>
  <si>
    <t>反投影</t>
    <phoneticPr fontId="1" type="noConversion"/>
  </si>
  <si>
    <t>tw</t>
    <phoneticPr fontId="1" type="noConversion"/>
  </si>
  <si>
    <t>sj</t>
    <phoneticPr fontId="1" type="noConversion"/>
  </si>
  <si>
    <t xml:space="preserve">dm </t>
    <phoneticPr fontId="1" type="noConversion"/>
  </si>
  <si>
    <t>1:不用延长</t>
    <phoneticPr fontId="1" type="noConversion"/>
  </si>
  <si>
    <t>JDX</t>
    <phoneticPr fontId="1" type="noConversion"/>
  </si>
  <si>
    <t>JDY</t>
    <phoneticPr fontId="1" type="noConversion"/>
  </si>
  <si>
    <t>LS1 长度</t>
    <phoneticPr fontId="1" type="noConversion"/>
  </si>
  <si>
    <t>LS2长度</t>
    <phoneticPr fontId="1" type="noConversion"/>
  </si>
  <si>
    <t xml:space="preserve">R
</t>
    <phoneticPr fontId="1" type="noConversion"/>
  </si>
  <si>
    <t>交点数据</t>
    <phoneticPr fontId="1" type="noConversion"/>
  </si>
  <si>
    <t>起点x</t>
    <phoneticPr fontId="1" type="noConversion"/>
  </si>
  <si>
    <t>起点y</t>
    <phoneticPr fontId="1" type="noConversion"/>
  </si>
  <si>
    <t>起点里程</t>
    <phoneticPr fontId="1" type="noConversion"/>
  </si>
  <si>
    <t>起点方位角
48.36384表示
48°36′38.4″</t>
    <phoneticPr fontId="1" type="noConversion"/>
  </si>
  <si>
    <t>长度</t>
    <phoneticPr fontId="1" type="noConversion"/>
  </si>
  <si>
    <t>起点半径</t>
    <phoneticPr fontId="1" type="noConversion"/>
  </si>
  <si>
    <t>终点半径</t>
    <phoneticPr fontId="1" type="noConversion"/>
  </si>
  <si>
    <t>转向</t>
    <phoneticPr fontId="1" type="noConversion"/>
  </si>
  <si>
    <t>计算例子</t>
    <phoneticPr fontId="1" type="noConversion"/>
  </si>
  <si>
    <t>桩号</t>
    <phoneticPr fontId="1" type="noConversion"/>
  </si>
  <si>
    <t>宽度</t>
    <phoneticPr fontId="1" type="noConversion"/>
  </si>
  <si>
    <t>右角度</t>
    <phoneticPr fontId="1" type="noConversion"/>
  </si>
  <si>
    <t>x</t>
    <phoneticPr fontId="1" type="noConversion"/>
  </si>
  <si>
    <t>y</t>
    <phoneticPr fontId="1" type="noConversion"/>
  </si>
  <si>
    <t>数组公式</t>
    <phoneticPr fontId="1" type="noConversion"/>
  </si>
  <si>
    <t>单个</t>
    <phoneticPr fontId="1" type="noConversion"/>
  </si>
  <si>
    <t>弧度切线角</t>
    <phoneticPr fontId="1" type="noConversion"/>
  </si>
  <si>
    <t>地图相关</t>
    <phoneticPr fontId="1" type="noConversion"/>
  </si>
  <si>
    <t>经度</t>
    <phoneticPr fontId="1" type="noConversion"/>
  </si>
  <si>
    <t>纬度</t>
    <phoneticPr fontId="1" type="noConversion"/>
  </si>
  <si>
    <t>控制点x</t>
    <phoneticPr fontId="1" type="noConversion"/>
  </si>
  <si>
    <t>控制点y</t>
    <phoneticPr fontId="1" type="noConversion"/>
  </si>
  <si>
    <t>地图中绘制点,需要线打开"路线",显示面板</t>
    <phoneticPr fontId="1" type="noConversion"/>
  </si>
  <si>
    <t>平面xy转为经纬度</t>
    <phoneticPr fontId="1" type="noConversion"/>
  </si>
  <si>
    <t>交点转为线元,返回一个n行8列的数据的数组  如果知道线元的每一段,按下格式输入就行
尽量把单元格范围选大一些,直到出现错误符号</t>
    <phoneticPr fontId="1" type="noConversion"/>
  </si>
  <si>
    <t>变坡点桩号</t>
    <phoneticPr fontId="1" type="noConversion"/>
  </si>
  <si>
    <t>变坡点高程</t>
    <phoneticPr fontId="1" type="noConversion"/>
  </si>
  <si>
    <t>半径(开始和结束为0)</t>
    <phoneticPr fontId="1" type="noConversion"/>
  </si>
  <si>
    <t>计算</t>
    <phoneticPr fontId="1" type="noConversion"/>
  </si>
  <si>
    <t>桩号</t>
    <phoneticPr fontId="1" type="noConversion"/>
  </si>
  <si>
    <t>板块1</t>
    <phoneticPr fontId="1" type="noConversion"/>
  </si>
  <si>
    <t>板块2</t>
    <phoneticPr fontId="1" type="noConversion"/>
  </si>
  <si>
    <t>桩号</t>
    <phoneticPr fontId="1" type="noConversion"/>
  </si>
  <si>
    <t>坡度</t>
    <phoneticPr fontId="1" type="noConversion"/>
  </si>
  <si>
    <t>计算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</si>
</sst>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00000_ "/>
    <numFmt numFmtId="177" formatCode="0.000"/>
    <numFmt numFmtId="178" formatCode="0.000000"/>
  </numFmts>
  <fonts count="11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indexed="81"/>
      <name val="宋体"/>
      <charset val="134"/>
    </font>
    <font>
      <b/>
      <sz val="9"/>
      <color indexed="81"/>
      <name val="宋体"/>
      <charset val="134"/>
    </font>
    <font>
      <sz val="11"/>
      <color theme="1"/>
      <name val="Arial Unicode MS"/>
      <family val="2"/>
      <charset val="134"/>
    </font>
    <font>
      <sz val="10"/>
      <name val="Arial Unicode MS"/>
      <family val="2"/>
      <charset val="134"/>
    </font>
    <font>
      <sz val="10"/>
      <color theme="1"/>
      <name val="Arial Unicode MS"/>
      <family val="2"/>
      <charset val="134"/>
    </font>
    <font>
      <sz val="10"/>
      <color rgb="FF000000"/>
      <name val="Arial Unicode MS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2" fillId="2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1" applyAlignment="1">
      <alignment horizontal="center" vertical="center"/>
    </xf>
    <xf numFmtId="0" fontId="2" fillId="2" borderId="0" xfId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178" fontId="9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0" xfId="0" applyNumberFormat="1" applyFont="1" applyAlignment="1">
      <alignment vertical="center" wrapText="1"/>
    </xf>
    <xf numFmtId="0" fontId="9" fillId="0" borderId="0" xfId="0" applyNumberFormat="1" applyFont="1" applyAlignment="1">
      <alignment horizontal="center" vertical="center"/>
    </xf>
    <xf numFmtId="0" fontId="7" fillId="0" borderId="0" xfId="0" applyNumberFormat="1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" fillId="2" borderId="0" xfId="1" applyAlignment="1">
      <alignment horizontal="center" vertical="center"/>
    </xf>
    <xf numFmtId="0" fontId="3" fillId="3" borderId="0" xfId="2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常规" xfId="0" builtinId="0"/>
    <cellStyle name="好" xfId="1" builtinId="26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H393"/>
  <sheetViews>
    <sheetView tabSelected="1" workbookViewId="0">
      <pane ySplit="2" topLeftCell="A3" activePane="bottomLeft" state="frozen"/>
      <selection pane="bottomLeft" activeCell="J11" sqref="J11"/>
    </sheetView>
  </sheetViews>
  <sheetFormatPr defaultRowHeight="22.5" customHeight="1" x14ac:dyDescent="0.15"/>
  <cols>
    <col min="1" max="1" width="12.75" style="7" bestFit="1" customWidth="1"/>
    <col min="2" max="2" width="11.625" style="7" bestFit="1" customWidth="1"/>
    <col min="3" max="3" width="9.25" style="7" bestFit="1" customWidth="1"/>
    <col min="4" max="5" width="9" style="7"/>
    <col min="6" max="6" width="2.875" style="7" customWidth="1"/>
    <col min="7" max="7" width="10.625" style="7" bestFit="1" customWidth="1"/>
    <col min="8" max="8" width="12.875" style="7" bestFit="1" customWidth="1"/>
    <col min="9" max="9" width="11.75" style="7" bestFit="1" customWidth="1"/>
    <col min="10" max="10" width="11.25" style="7" bestFit="1" customWidth="1"/>
    <col min="11" max="11" width="9.625" style="7" bestFit="1" customWidth="1"/>
    <col min="12" max="13" width="9.375" style="7" bestFit="1" customWidth="1"/>
    <col min="14" max="14" width="7.625" style="16" bestFit="1" customWidth="1"/>
    <col min="15" max="15" width="4.25" customWidth="1"/>
    <col min="16" max="16" width="9" style="17"/>
    <col min="17" max="17" width="5.25" style="17" bestFit="1" customWidth="1"/>
    <col min="18" max="18" width="7.125" style="17" bestFit="1" customWidth="1"/>
    <col min="19" max="19" width="12.75" style="17" bestFit="1" customWidth="1"/>
    <col min="20" max="20" width="11.625" style="17" bestFit="1" customWidth="1"/>
    <col min="21" max="22" width="12.75" style="17" bestFit="1" customWidth="1"/>
    <col min="23" max="23" width="11.625" style="17" bestFit="1" customWidth="1"/>
    <col min="24" max="24" width="12.75" style="17" bestFit="1" customWidth="1"/>
    <col min="25" max="27" width="12.75" bestFit="1" customWidth="1"/>
    <col min="28" max="28" width="11.625" bestFit="1" customWidth="1"/>
    <col min="29" max="30" width="11.625" customWidth="1"/>
    <col min="31" max="31" width="13" bestFit="1" customWidth="1"/>
  </cols>
  <sheetData>
    <row r="1" spans="1:34" ht="31.5" customHeight="1" x14ac:dyDescent="0.15">
      <c r="A1" s="20" t="s">
        <v>19</v>
      </c>
      <c r="B1" s="20"/>
      <c r="C1" s="20"/>
      <c r="D1" s="20"/>
      <c r="E1" s="20"/>
      <c r="G1" s="21" t="s">
        <v>44</v>
      </c>
      <c r="H1" s="21"/>
      <c r="I1" s="21"/>
      <c r="J1" s="21"/>
      <c r="K1" s="21"/>
      <c r="L1" s="21"/>
      <c r="M1" s="21"/>
      <c r="N1" s="21"/>
      <c r="P1" s="17" t="s">
        <v>28</v>
      </c>
      <c r="S1" s="20" t="s">
        <v>34</v>
      </c>
      <c r="T1" s="20"/>
      <c r="U1" s="20"/>
      <c r="V1" s="20" t="s">
        <v>35</v>
      </c>
      <c r="W1" s="20"/>
      <c r="X1" s="20"/>
      <c r="Y1" s="19" t="s">
        <v>37</v>
      </c>
      <c r="Z1" s="19"/>
      <c r="AA1" s="19"/>
      <c r="AB1" s="19"/>
      <c r="AC1" s="19"/>
      <c r="AD1" s="19"/>
      <c r="AE1" s="19"/>
      <c r="AF1" s="19"/>
      <c r="AG1" s="19"/>
      <c r="AH1" s="19"/>
    </row>
    <row r="2" spans="1:34" ht="24.75" customHeight="1" x14ac:dyDescent="0.15">
      <c r="A2" s="7" t="s">
        <v>14</v>
      </c>
      <c r="B2" s="7" t="s">
        <v>15</v>
      </c>
      <c r="C2" s="8" t="s">
        <v>16</v>
      </c>
      <c r="D2" s="7" t="s">
        <v>17</v>
      </c>
      <c r="E2" s="8" t="s">
        <v>18</v>
      </c>
      <c r="G2" s="8" t="s">
        <v>22</v>
      </c>
      <c r="H2" s="8" t="s">
        <v>20</v>
      </c>
      <c r="I2" s="7" t="s">
        <v>21</v>
      </c>
      <c r="J2" s="8" t="s">
        <v>23</v>
      </c>
      <c r="K2" s="8" t="s">
        <v>24</v>
      </c>
      <c r="L2" s="8" t="s">
        <v>25</v>
      </c>
      <c r="M2" s="8" t="s">
        <v>26</v>
      </c>
      <c r="N2" s="14" t="s">
        <v>27</v>
      </c>
      <c r="P2" s="18" t="s">
        <v>29</v>
      </c>
      <c r="Q2" s="18" t="s">
        <v>30</v>
      </c>
      <c r="R2" s="18" t="s">
        <v>31</v>
      </c>
      <c r="S2" s="18" t="s">
        <v>32</v>
      </c>
      <c r="T2" s="18" t="s">
        <v>33</v>
      </c>
      <c r="U2" s="18" t="s">
        <v>36</v>
      </c>
      <c r="V2" s="18" t="s">
        <v>32</v>
      </c>
      <c r="W2" s="18" t="s">
        <v>33</v>
      </c>
      <c r="X2" s="18" t="s">
        <v>36</v>
      </c>
      <c r="Y2" s="19"/>
      <c r="Z2" s="19"/>
      <c r="AA2" s="19"/>
      <c r="AB2" s="19"/>
      <c r="AC2" s="6"/>
      <c r="AD2" s="6"/>
    </row>
    <row r="3" spans="1:34" ht="22.5" customHeight="1" x14ac:dyDescent="0.15">
      <c r="A3" s="9">
        <v>4616065.9740000004</v>
      </c>
      <c r="B3" s="9">
        <v>503168.49200000003</v>
      </c>
      <c r="C3" s="10">
        <v>1693.807</v>
      </c>
      <c r="D3" s="10">
        <v>0</v>
      </c>
      <c r="E3" s="10">
        <v>0</v>
      </c>
      <c r="G3" s="11">
        <f t="array" ref="G3:N102">_xll.hdm_交点转线元($A$3:$E$26)</f>
        <v>1693.806</v>
      </c>
      <c r="H3" s="11">
        <v>4616065.9740000004</v>
      </c>
      <c r="I3" s="11">
        <v>503168.49099999998</v>
      </c>
      <c r="J3" s="12">
        <v>48.363840000000003</v>
      </c>
      <c r="K3" s="11">
        <v>155.76900000000001</v>
      </c>
      <c r="L3" s="11">
        <v>0</v>
      </c>
      <c r="M3" s="11">
        <v>1300</v>
      </c>
      <c r="N3" s="15">
        <v>1</v>
      </c>
      <c r="P3" s="17">
        <v>1700</v>
      </c>
      <c r="Q3" s="17">
        <v>0</v>
      </c>
      <c r="R3" s="17">
        <v>90</v>
      </c>
      <c r="S3" s="17">
        <f t="array" ref="S3:U3">_xll.hdm_k2xy_data(P3,Q3,R3,$G$3:$N$75)</f>
        <v>4616070.0690000001</v>
      </c>
      <c r="T3" s="17">
        <v>503173.13799999998</v>
      </c>
      <c r="U3" s="17">
        <v>0.84851097573707257</v>
      </c>
      <c r="V3" s="17">
        <f>INDEX(_xll.hdm_k2xy_data(P3,Q3,R3,$G$3:$N$75),1,1)</f>
        <v>4616070.0690000001</v>
      </c>
      <c r="W3" s="17">
        <f>INDEX(_xll.hdm_k2xy_data(P3,Q3,R3,$G$3:$N$75),1,2)</f>
        <v>503173.13799999998</v>
      </c>
      <c r="X3" s="17">
        <f>INDEX(_xll.hdm_k2xy_data(P3,Q3,R3,$G$3:$N$75),1,3)</f>
        <v>0.84851097573707257</v>
      </c>
      <c r="Y3" t="s">
        <v>38</v>
      </c>
      <c r="Z3" t="s">
        <v>39</v>
      </c>
      <c r="AA3" t="s">
        <v>40</v>
      </c>
      <c r="AB3" t="s">
        <v>41</v>
      </c>
      <c r="AC3" t="s">
        <v>43</v>
      </c>
      <c r="AE3" t="s">
        <v>42</v>
      </c>
    </row>
    <row r="4" spans="1:34" ht="22.5" customHeight="1" x14ac:dyDescent="0.15">
      <c r="A4" s="9">
        <v>4616673.5820000004</v>
      </c>
      <c r="B4" s="9">
        <v>503857.94699999999</v>
      </c>
      <c r="C4" s="13">
        <v>155.76900000000001</v>
      </c>
      <c r="D4" s="13">
        <v>155.76900000000001</v>
      </c>
      <c r="E4" s="9">
        <v>1300</v>
      </c>
      <c r="G4" s="11">
        <v>1849.575</v>
      </c>
      <c r="H4" s="11">
        <v>4616166.5930000003</v>
      </c>
      <c r="I4" s="11">
        <v>503287.36900000001</v>
      </c>
      <c r="J4" s="12">
        <v>52.023620000000001</v>
      </c>
      <c r="K4" s="11">
        <v>1336.623</v>
      </c>
      <c r="L4" s="11">
        <v>1300</v>
      </c>
      <c r="M4" s="11">
        <v>1300</v>
      </c>
      <c r="N4" s="15">
        <v>1</v>
      </c>
      <c r="P4" s="17">
        <v>1720</v>
      </c>
      <c r="Q4" s="17">
        <v>0</v>
      </c>
      <c r="R4" s="17">
        <v>90</v>
      </c>
      <c r="S4" s="17">
        <f t="array" ref="S4:U4">_xll.hdm_k2xy_data(P4,Q4,R4,$G$3:$N$75)</f>
        <v>4616083.2819999997</v>
      </c>
      <c r="T4" s="17">
        <v>503188.152</v>
      </c>
      <c r="U4" s="17">
        <v>0.8501105647216507</v>
      </c>
      <c r="Y4">
        <v>45.077456727777701</v>
      </c>
      <c r="Z4">
        <v>41.686221724999903</v>
      </c>
      <c r="AA4">
        <v>4614941.3890000004</v>
      </c>
      <c r="AB4">
        <v>506445.821</v>
      </c>
      <c r="AC4">
        <f t="array" ref="AC4:AD4">_xll.map_xy2gps(S3,T3,"utm",$Y$4:$Z$8,$AA$4:$AB$8)</f>
        <v>45.03813859254015</v>
      </c>
      <c r="AD4">
        <v>41.696407688468874</v>
      </c>
      <c r="AE4">
        <f>_xll.map_point(AC4,AD4)</f>
        <v>0</v>
      </c>
    </row>
    <row r="5" spans="1:34" ht="22.5" customHeight="1" x14ac:dyDescent="0.15">
      <c r="A5" s="9">
        <v>4615456.6349999998</v>
      </c>
      <c r="B5" s="9">
        <v>506542.44799999997</v>
      </c>
      <c r="C5" s="13">
        <v>155.76900000000001</v>
      </c>
      <c r="D5" s="13">
        <v>155.76900000000001</v>
      </c>
      <c r="E5" s="9">
        <v>1300</v>
      </c>
      <c r="G5" s="11">
        <v>3186.1990000000001</v>
      </c>
      <c r="H5" s="11">
        <v>4616355.608</v>
      </c>
      <c r="I5" s="11">
        <v>504551.842</v>
      </c>
      <c r="J5" s="12">
        <v>110.57118</v>
      </c>
      <c r="K5" s="11">
        <v>155.76900000000001</v>
      </c>
      <c r="L5" s="11">
        <v>1300</v>
      </c>
      <c r="M5" s="11">
        <v>0</v>
      </c>
      <c r="N5" s="15">
        <v>1</v>
      </c>
      <c r="P5" s="17">
        <v>1740</v>
      </c>
      <c r="Q5" s="17">
        <v>0</v>
      </c>
      <c r="R5" s="17">
        <v>90</v>
      </c>
      <c r="S5" s="17">
        <f t="array" ref="S5:U5">_xll.hdm_k2xy_data(P5,Q5,R5,$G$3:$N$75)</f>
        <v>4616096.4550000001</v>
      </c>
      <c r="T5" s="17">
        <v>503203.201</v>
      </c>
      <c r="U5" s="17">
        <v>0.85368543959554088</v>
      </c>
      <c r="Y5">
        <v>45.190724799999998</v>
      </c>
      <c r="Z5">
        <v>41.702550938888898</v>
      </c>
      <c r="AA5">
        <v>4616768.9780000001</v>
      </c>
      <c r="AB5">
        <v>515868.34499999997</v>
      </c>
      <c r="AC5">
        <f t="array" ref="AC5:AD5">_xll.map_xy2gps(S4,T4,"utm",$Y$4:$Z$8,$AA$4:$AB$8)</f>
        <v>45.038319097941383</v>
      </c>
      <c r="AD5">
        <v>41.696526639856266</v>
      </c>
      <c r="AE5">
        <f>_xll.map_point(AC5,AD5)</f>
        <v>0</v>
      </c>
    </row>
    <row r="6" spans="1:34" ht="22.5" customHeight="1" x14ac:dyDescent="0.15">
      <c r="A6" s="9">
        <v>4613793.7429999998</v>
      </c>
      <c r="B6" s="9">
        <v>506918.33199999999</v>
      </c>
      <c r="C6" s="13">
        <v>133.333</v>
      </c>
      <c r="D6" s="13">
        <v>133.333</v>
      </c>
      <c r="E6" s="9">
        <v>1200</v>
      </c>
      <c r="G6" s="11">
        <v>3341.9679999999998</v>
      </c>
      <c r="H6" s="11">
        <v>4616294.1500000004</v>
      </c>
      <c r="I6" s="11">
        <v>504694.94699999999</v>
      </c>
      <c r="J6" s="12">
        <v>114.23092</v>
      </c>
      <c r="K6" s="11">
        <v>1303.796</v>
      </c>
      <c r="L6" s="11">
        <v>0</v>
      </c>
      <c r="M6" s="11">
        <v>0</v>
      </c>
      <c r="N6" s="15">
        <v>0</v>
      </c>
      <c r="P6" s="17">
        <v>1760</v>
      </c>
      <c r="Q6" s="17">
        <v>0</v>
      </c>
      <c r="R6" s="17">
        <v>90</v>
      </c>
      <c r="S6" s="17">
        <f t="array" ref="S6:U6">_xll.hdm_k2xy_data(P6,Q6,R6,$G$3:$N$75)</f>
        <v>4616109.5599999996</v>
      </c>
      <c r="T6" s="17">
        <v>503218.30900000001</v>
      </c>
      <c r="U6" s="17">
        <v>0.85923560035874325</v>
      </c>
      <c r="Y6">
        <v>45.223496005555504</v>
      </c>
      <c r="Z6">
        <v>41.705099897222198</v>
      </c>
      <c r="AA6">
        <v>4617058.5279999999</v>
      </c>
      <c r="AB6">
        <v>518594.24900000001</v>
      </c>
      <c r="AC6">
        <f t="array" ref="AC6:AD6">_xll.map_xy2gps(S5,T5,"utm",$Y$4:$Z$8,$AA$4:$AB$8)</f>
        <v>45.038500024416408</v>
      </c>
      <c r="AD6">
        <v>41.696645230530834</v>
      </c>
    </row>
    <row r="7" spans="1:34" ht="22.5" customHeight="1" x14ac:dyDescent="0.15">
      <c r="A7" s="9">
        <v>4613726.966</v>
      </c>
      <c r="B7" s="9">
        <v>508318.60700000002</v>
      </c>
      <c r="C7" s="13">
        <v>133.333</v>
      </c>
      <c r="D7" s="13">
        <v>133.333</v>
      </c>
      <c r="E7" s="9">
        <v>1200</v>
      </c>
      <c r="G7" s="11">
        <v>4645.7629999999999</v>
      </c>
      <c r="H7" s="11">
        <v>4615755.8389999997</v>
      </c>
      <c r="I7" s="11">
        <v>505882.42499999999</v>
      </c>
      <c r="J7" s="12">
        <v>114.23092</v>
      </c>
      <c r="K7" s="11">
        <v>155.76900000000001</v>
      </c>
      <c r="L7" s="11">
        <v>0</v>
      </c>
      <c r="M7" s="11">
        <v>1300</v>
      </c>
      <c r="N7" s="15">
        <v>1</v>
      </c>
      <c r="P7" s="17">
        <v>1780</v>
      </c>
      <c r="Q7" s="17">
        <v>0</v>
      </c>
      <c r="R7" s="17">
        <v>90</v>
      </c>
      <c r="S7" s="17">
        <f t="array" ref="S7:U7">_xll.hdm_k2xy_data(P7,Q7,R7,$G$3:$N$75)</f>
        <v>4616122.5659999996</v>
      </c>
      <c r="T7" s="17">
        <v>503233.50300000003</v>
      </c>
      <c r="U7" s="17">
        <v>0.86676104701125789</v>
      </c>
      <c r="Y7">
        <v>45.256026327777697</v>
      </c>
      <c r="Z7">
        <v>41.708703127777703</v>
      </c>
      <c r="AA7">
        <v>4617466.1050000004</v>
      </c>
      <c r="AB7">
        <v>521299.549</v>
      </c>
      <c r="AC7">
        <f t="array" ref="AC7:AD7">_xll.map_xy2gps(S6,T6,"utm",$Y$4:$Z$8,$AA$4:$AB$8)</f>
        <v>45.03868166024148</v>
      </c>
      <c r="AD7">
        <v>41.696763208193474</v>
      </c>
    </row>
    <row r="8" spans="1:34" ht="22.5" customHeight="1" x14ac:dyDescent="0.15">
      <c r="A8" s="9">
        <v>4613224.34</v>
      </c>
      <c r="B8" s="9">
        <v>509018.67</v>
      </c>
      <c r="C8" s="13">
        <v>133.333</v>
      </c>
      <c r="D8" s="13">
        <v>133.333</v>
      </c>
      <c r="E8" s="9">
        <v>1200</v>
      </c>
      <c r="G8" s="11">
        <v>4801.5320000000002</v>
      </c>
      <c r="H8" s="11">
        <v>4615688.716</v>
      </c>
      <c r="I8" s="11">
        <v>506022.962</v>
      </c>
      <c r="J8" s="12">
        <v>117.4907</v>
      </c>
      <c r="K8" s="11">
        <v>1043.97</v>
      </c>
      <c r="L8" s="11">
        <v>1300</v>
      </c>
      <c r="M8" s="11">
        <v>1300</v>
      </c>
      <c r="N8" s="15">
        <v>1</v>
      </c>
      <c r="P8" s="17">
        <v>1800</v>
      </c>
      <c r="Q8" s="17">
        <v>0</v>
      </c>
      <c r="R8" s="17">
        <v>90</v>
      </c>
      <c r="S8" s="17">
        <f t="array" ref="S8:U8">_xll.hdm_k2xy_data(P8,Q8,R8,$G$3:$N$75)</f>
        <v>4616135.4419999998</v>
      </c>
      <c r="T8" s="17">
        <v>503248.80699999997</v>
      </c>
      <c r="U8" s="17">
        <v>0.8762617795530846</v>
      </c>
      <c r="Y8">
        <v>45.287441966666599</v>
      </c>
      <c r="Z8">
        <v>41.702491819444397</v>
      </c>
      <c r="AA8">
        <v>4616784.7520000003</v>
      </c>
      <c r="AB8">
        <v>523915.45500000002</v>
      </c>
      <c r="AC8">
        <f t="array" ref="AC8:AD8">_xll.map_xy2gps(S7,T7,"utm",$Y$4:$Z$8,$AA$4:$AB$8)</f>
        <v>45.038864329729421</v>
      </c>
      <c r="AD8">
        <v>41.696880293509814</v>
      </c>
    </row>
    <row r="9" spans="1:34" ht="22.5" customHeight="1" x14ac:dyDescent="0.15">
      <c r="A9" s="9">
        <v>4613199.5389999999</v>
      </c>
      <c r="B9" s="9">
        <v>510286.83899999998</v>
      </c>
      <c r="C9" s="13">
        <v>155.76900000000001</v>
      </c>
      <c r="D9" s="13">
        <v>155.76900000000001</v>
      </c>
      <c r="E9" s="9">
        <v>1300</v>
      </c>
      <c r="G9" s="11">
        <v>5845.5020000000004</v>
      </c>
      <c r="H9" s="11">
        <v>4614900.9879999999</v>
      </c>
      <c r="I9" s="11">
        <v>506664.859</v>
      </c>
      <c r="J9" s="12">
        <v>163.49485999999999</v>
      </c>
      <c r="K9" s="11">
        <v>155.76900000000001</v>
      </c>
      <c r="L9" s="11">
        <v>1300</v>
      </c>
      <c r="M9" s="11">
        <v>0</v>
      </c>
      <c r="N9" s="15">
        <v>1</v>
      </c>
      <c r="P9" s="17">
        <v>1820</v>
      </c>
      <c r="Q9" s="17">
        <v>0</v>
      </c>
      <c r="R9" s="17">
        <v>90</v>
      </c>
      <c r="S9" s="17">
        <f t="array" ref="S9:U9">_xll.hdm_k2xy_data(P9,Q9,R9,$G$3:$N$75)</f>
        <v>4616148.1560000004</v>
      </c>
      <c r="T9" s="17">
        <v>503264.245</v>
      </c>
      <c r="U9" s="17">
        <v>0.88773779798422359</v>
      </c>
      <c r="AC9">
        <f t="array" ref="AC9:AD9">_xll.map_xy2gps(S8,T8,"utm",$Y$4:$Z$8,$AA$4:$AB$8)</f>
        <v>45.039048321138488</v>
      </c>
      <c r="AD9">
        <v>41.696996207155543</v>
      </c>
    </row>
    <row r="10" spans="1:34" ht="22.5" customHeight="1" x14ac:dyDescent="0.15">
      <c r="A10" s="9">
        <v>4613862.7489999998</v>
      </c>
      <c r="B10" s="9">
        <v>511482.38099999999</v>
      </c>
      <c r="C10" s="13">
        <v>155.76900000000001</v>
      </c>
      <c r="D10" s="13">
        <v>155.76900000000001</v>
      </c>
      <c r="E10" s="9">
        <v>1300</v>
      </c>
      <c r="G10" s="11">
        <v>6001.2740000000003</v>
      </c>
      <c r="H10" s="11">
        <v>4614749.79</v>
      </c>
      <c r="I10" s="11">
        <v>506702.22499999998</v>
      </c>
      <c r="J10" s="12">
        <v>167.15459999999999</v>
      </c>
      <c r="K10" s="11">
        <v>133.333</v>
      </c>
      <c r="L10" s="11">
        <v>0</v>
      </c>
      <c r="M10" s="11">
        <v>1200</v>
      </c>
      <c r="N10" s="15">
        <v>-1</v>
      </c>
      <c r="P10" s="17">
        <v>1840</v>
      </c>
      <c r="Q10" s="17">
        <v>0</v>
      </c>
      <c r="R10" s="17">
        <v>90</v>
      </c>
      <c r="S10" s="17">
        <f t="array" ref="S10:U10">_xll.hdm_k2xy_data(P10,Q10,R10,$G$3:$N$75)</f>
        <v>4616160.6770000001</v>
      </c>
      <c r="T10" s="17">
        <v>503279.84</v>
      </c>
      <c r="U10" s="17">
        <v>0.90118910230467464</v>
      </c>
      <c r="AC10">
        <f t="array" ref="AC10:AD10">_xll.map_xy2gps(S9,T9,"utm",$Y$4:$Z$8,$AA$4:$AB$8)</f>
        <v>45.039233922720243</v>
      </c>
      <c r="AD10">
        <v>41.697110660797392</v>
      </c>
    </row>
    <row r="11" spans="1:34" ht="22.5" customHeight="1" x14ac:dyDescent="0.15">
      <c r="A11" s="9">
        <v>4613943.7209999999</v>
      </c>
      <c r="B11" s="9">
        <v>512397.96600000001</v>
      </c>
      <c r="C11" s="13">
        <v>122.5</v>
      </c>
      <c r="D11" s="13">
        <v>122.5</v>
      </c>
      <c r="E11" s="9">
        <v>1000</v>
      </c>
      <c r="G11" s="11">
        <v>6134.607</v>
      </c>
      <c r="H11" s="11">
        <v>4614620.3229999999</v>
      </c>
      <c r="I11" s="11">
        <v>506734.02100000001</v>
      </c>
      <c r="J11" s="12">
        <v>164.04468</v>
      </c>
      <c r="K11" s="11">
        <v>1427.672</v>
      </c>
      <c r="L11" s="11">
        <v>1200</v>
      </c>
      <c r="M11" s="11">
        <v>1200</v>
      </c>
      <c r="N11" s="15">
        <v>-1</v>
      </c>
      <c r="P11" s="17">
        <v>1860</v>
      </c>
      <c r="Q11" s="17">
        <v>0</v>
      </c>
      <c r="R11" s="17">
        <v>90</v>
      </c>
      <c r="S11" s="17">
        <f t="array" ref="S11:U11">_xll.hdm_k2xy_data(P11,Q11,R11,$G$3:$N$75)</f>
        <v>4616172.9720000001</v>
      </c>
      <c r="T11" s="17">
        <v>503295.614</v>
      </c>
      <c r="U11" s="17">
        <v>0.91634772077617521</v>
      </c>
      <c r="AC11">
        <f t="array" ref="AC11:AD11">_xll.map_xy2gps(S10,T10,"utm",$Y$4:$Z$8,$AA$4:$AB$8)</f>
        <v>45.039421410712386</v>
      </c>
      <c r="AD11">
        <v>41.697223375111449</v>
      </c>
    </row>
    <row r="12" spans="1:34" ht="22.5" customHeight="1" x14ac:dyDescent="0.15">
      <c r="A12" s="9">
        <v>4614893.5609999998</v>
      </c>
      <c r="B12" s="9">
        <v>512979.61200000002</v>
      </c>
      <c r="C12" s="13">
        <v>178.57</v>
      </c>
      <c r="D12" s="13">
        <v>178.57</v>
      </c>
      <c r="E12" s="9">
        <v>1400</v>
      </c>
      <c r="G12" s="11">
        <v>7562.2790000000005</v>
      </c>
      <c r="H12" s="11">
        <v>4613755.8689999999</v>
      </c>
      <c r="I12" s="11">
        <v>507764.36499999999</v>
      </c>
      <c r="J12" s="12">
        <v>95.544799999999995</v>
      </c>
      <c r="K12" s="11">
        <v>133.333</v>
      </c>
      <c r="L12" s="11">
        <v>1200</v>
      </c>
      <c r="M12" s="11">
        <v>0</v>
      </c>
      <c r="N12" s="15">
        <v>-1</v>
      </c>
      <c r="P12" s="17">
        <v>1880</v>
      </c>
      <c r="Q12" s="17">
        <v>0</v>
      </c>
      <c r="R12" s="17">
        <v>90</v>
      </c>
      <c r="S12" s="17">
        <f t="array" ref="S12:U12">_xll.hdm_k2xy_data(P12,Q12,R12,$G$3:$N$75)</f>
        <v>4616185.0240000002</v>
      </c>
      <c r="T12" s="17">
        <v>503311.57500000001</v>
      </c>
      <c r="U12" s="17">
        <v>0.93173233616079065</v>
      </c>
      <c r="AC12">
        <f t="array" ref="AC12:AD12">_xll.map_xy2gps(S11,T11,"utm",$Y$4:$Z$8,$AA$4:$AB$8)</f>
        <v>45.039611049321977</v>
      </c>
      <c r="AD12">
        <v>41.697334052761796</v>
      </c>
    </row>
    <row r="13" spans="1:34" ht="22.5" customHeight="1" x14ac:dyDescent="0.15">
      <c r="A13" s="9">
        <v>4615708.9709999999</v>
      </c>
      <c r="B13" s="9">
        <v>514976.21899999998</v>
      </c>
      <c r="C13" s="13">
        <v>326.66699999999997</v>
      </c>
      <c r="D13" s="13">
        <v>326.66699999999997</v>
      </c>
      <c r="E13" s="9">
        <v>1500</v>
      </c>
      <c r="G13" s="11">
        <v>7695.6149999999998</v>
      </c>
      <c r="H13" s="11">
        <v>4613747.0530000003</v>
      </c>
      <c r="I13" s="11">
        <v>507897.391</v>
      </c>
      <c r="J13" s="12">
        <v>92.434899999999999</v>
      </c>
      <c r="K13" s="11">
        <v>133.333</v>
      </c>
      <c r="L13" s="11">
        <v>0</v>
      </c>
      <c r="M13" s="11">
        <v>1200</v>
      </c>
      <c r="N13" s="15">
        <v>1</v>
      </c>
      <c r="P13" s="17">
        <v>1900</v>
      </c>
      <c r="Q13" s="17">
        <v>0</v>
      </c>
      <c r="R13" s="17">
        <v>90</v>
      </c>
      <c r="S13" s="17">
        <f t="array" ref="S13:U13">_xll.hdm_k2xy_data(P13,Q13,R13,$G$3:$N$75)</f>
        <v>4616196.8289999999</v>
      </c>
      <c r="T13" s="17">
        <v>503327.71899999998</v>
      </c>
      <c r="U13" s="17">
        <v>0.94711695154540598</v>
      </c>
      <c r="AC13">
        <f t="array" ref="AC13:AD13">_xll.map_xy2gps(S12,T12,"utm",$Y$4:$Z$8,$AA$4:$AB$8)</f>
        <v>45.039802934591428</v>
      </c>
      <c r="AD13">
        <v>41.697442540583225</v>
      </c>
    </row>
    <row r="14" spans="1:34" ht="22.5" customHeight="1" x14ac:dyDescent="0.15">
      <c r="A14" s="9">
        <v>4616375.0750000002</v>
      </c>
      <c r="B14" s="9">
        <v>515612.92800000001</v>
      </c>
      <c r="C14" s="13">
        <v>233.333</v>
      </c>
      <c r="D14" s="13">
        <v>233.333</v>
      </c>
      <c r="E14" s="9">
        <v>2100</v>
      </c>
      <c r="G14" s="11">
        <v>7828.9480000000003</v>
      </c>
      <c r="H14" s="11">
        <v>4613738.2379999999</v>
      </c>
      <c r="I14" s="11">
        <v>508030.41399999999</v>
      </c>
      <c r="J14" s="12">
        <v>95.544830000000005</v>
      </c>
      <c r="K14" s="11">
        <v>556.70799999999997</v>
      </c>
      <c r="L14" s="11">
        <v>1200</v>
      </c>
      <c r="M14" s="11">
        <v>1200</v>
      </c>
      <c r="N14" s="15">
        <v>1</v>
      </c>
      <c r="P14" s="17">
        <v>1920</v>
      </c>
      <c r="Q14" s="17">
        <v>0</v>
      </c>
      <c r="R14" s="17">
        <v>90</v>
      </c>
      <c r="S14" s="17">
        <f t="array" ref="S14:U14">_xll.hdm_k2xy_data(P14,Q14,R14,$G$3:$N$75)</f>
        <v>4616208.3839999996</v>
      </c>
      <c r="T14" s="17">
        <v>503344.04300000001</v>
      </c>
      <c r="U14" s="17">
        <v>0.96250156693002142</v>
      </c>
      <c r="AC14">
        <f t="array" ref="AC14:AD14">_xll.map_xy2gps(S13,T13,"utm",$Y$4:$Z$8,$AA$4:$AB$8)</f>
        <v>45.039997018418291</v>
      </c>
      <c r="AD14">
        <v>41.697548802552753</v>
      </c>
    </row>
    <row r="15" spans="1:34" ht="22.5" customHeight="1" x14ac:dyDescent="0.15">
      <c r="A15" s="9">
        <v>4617625.1069999998</v>
      </c>
      <c r="B15" s="9">
        <v>517875.56099999999</v>
      </c>
      <c r="C15" s="13">
        <v>385.54199999999997</v>
      </c>
      <c r="D15" s="13">
        <v>385.54199999999997</v>
      </c>
      <c r="E15" s="9">
        <v>1660</v>
      </c>
      <c r="G15" s="11">
        <v>8385.6560000000009</v>
      </c>
      <c r="H15" s="11">
        <v>4613556.7580000004</v>
      </c>
      <c r="I15" s="11">
        <v>508551.44099999999</v>
      </c>
      <c r="J15" s="12">
        <v>122.29393</v>
      </c>
      <c r="K15" s="11">
        <v>133.333</v>
      </c>
      <c r="L15" s="11">
        <v>1200</v>
      </c>
      <c r="M15" s="11">
        <v>0</v>
      </c>
      <c r="N15" s="15">
        <v>1</v>
      </c>
      <c r="P15" s="17">
        <v>1940</v>
      </c>
      <c r="Q15" s="17">
        <v>0</v>
      </c>
      <c r="R15" s="17">
        <v>90</v>
      </c>
      <c r="S15" s="17">
        <f t="array" ref="S15:U15">_xll.hdm_k2xy_data(P15,Q15,R15,$G$3:$N$75)</f>
        <v>4616219.6869999999</v>
      </c>
      <c r="T15" s="17">
        <v>503360.54300000001</v>
      </c>
      <c r="U15" s="17">
        <v>0.97788618231463675</v>
      </c>
      <c r="AC15">
        <f t="array" ref="AC15:AD15">_xll.map_xy2gps(S14,T14,"utm",$Y$4:$Z$8,$AA$4:$AB$8)</f>
        <v>45.040193264722511</v>
      </c>
      <c r="AD15">
        <v>41.697652811650542</v>
      </c>
    </row>
    <row r="16" spans="1:34" ht="22.5" customHeight="1" x14ac:dyDescent="0.15">
      <c r="A16" s="9">
        <v>4616823.5319999997</v>
      </c>
      <c r="B16" s="9">
        <v>519775.27600000001</v>
      </c>
      <c r="C16" s="13">
        <v>155.76900000000001</v>
      </c>
      <c r="D16" s="13">
        <v>155.76900000000001</v>
      </c>
      <c r="E16" s="9">
        <v>1300</v>
      </c>
      <c r="G16" s="11">
        <v>8518.991</v>
      </c>
      <c r="H16" s="11">
        <v>4613481.0240000002</v>
      </c>
      <c r="I16" s="11">
        <v>508661.158</v>
      </c>
      <c r="J16" s="12">
        <v>125.40383</v>
      </c>
      <c r="K16" s="11">
        <v>133.333</v>
      </c>
      <c r="L16" s="11">
        <v>0</v>
      </c>
      <c r="M16" s="11">
        <v>1200</v>
      </c>
      <c r="N16" s="15">
        <v>-1</v>
      </c>
      <c r="P16" s="17">
        <v>1960</v>
      </c>
      <c r="Q16" s="17">
        <v>0</v>
      </c>
      <c r="R16" s="17">
        <v>90</v>
      </c>
      <c r="S16" s="17">
        <f t="array" ref="S16:U16">_xll.hdm_k2xy_data(P16,Q16,R16,$G$3:$N$75)</f>
        <v>4616230.7340000002</v>
      </c>
      <c r="T16" s="17">
        <v>503377.21500000003</v>
      </c>
      <c r="U16" s="17">
        <v>0.99327079769925219</v>
      </c>
      <c r="AC16">
        <f t="array" ref="AC16:AD16">_xll.map_xy2gps(S15,T15,"utm",$Y$4:$Z$8,$AA$4:$AB$8)</f>
        <v>45.040391625410621</v>
      </c>
      <c r="AD16">
        <v>41.697754549868257</v>
      </c>
    </row>
    <row r="17" spans="1:30" ht="22.5" customHeight="1" x14ac:dyDescent="0.15">
      <c r="A17" s="9">
        <v>4616971.84</v>
      </c>
      <c r="B17" s="9">
        <v>520949.07199999999</v>
      </c>
      <c r="C17" s="13">
        <v>155.76900000000001</v>
      </c>
      <c r="D17" s="13">
        <v>155.76900000000001</v>
      </c>
      <c r="E17" s="9">
        <v>1300</v>
      </c>
      <c r="G17" s="11">
        <v>8652.3240000000005</v>
      </c>
      <c r="H17" s="11">
        <v>4613405.2910000002</v>
      </c>
      <c r="I17" s="11">
        <v>508770.87199999997</v>
      </c>
      <c r="J17" s="12">
        <v>122.29389999999999</v>
      </c>
      <c r="K17" s="11">
        <v>590.42600000000004</v>
      </c>
      <c r="L17" s="11">
        <v>1200</v>
      </c>
      <c r="M17" s="11">
        <v>1200</v>
      </c>
      <c r="N17" s="15">
        <v>-1</v>
      </c>
      <c r="P17" s="17">
        <v>1980</v>
      </c>
      <c r="Q17" s="17">
        <v>0</v>
      </c>
      <c r="R17" s="17">
        <v>90</v>
      </c>
      <c r="S17" s="17">
        <f t="array" ref="S17:U17">_xll.hdm_k2xy_data(P17,Q17,R17,$G$3:$N$75)</f>
        <v>4616241.5240000002</v>
      </c>
      <c r="T17" s="17">
        <v>503394.054</v>
      </c>
      <c r="U17" s="17">
        <v>1.0086554130838676</v>
      </c>
      <c r="AC17">
        <f t="array" ref="AC17:AD17">_xll.map_xy2gps(S16,T16,"utm",$Y$4:$Z$8,$AA$4:$AB$8)</f>
        <v>45.040592052376887</v>
      </c>
      <c r="AD17">
        <v>41.697853981183492</v>
      </c>
    </row>
    <row r="18" spans="1:30" ht="22.5" customHeight="1" x14ac:dyDescent="0.15">
      <c r="A18" s="9">
        <v>4616859.3739999998</v>
      </c>
      <c r="B18" s="9">
        <v>521588.36499999999</v>
      </c>
      <c r="C18" s="13">
        <v>155.76900000000001</v>
      </c>
      <c r="D18" s="13">
        <v>155.76900000000001</v>
      </c>
      <c r="E18" s="9">
        <v>1300</v>
      </c>
      <c r="G18" s="11">
        <v>9242.75</v>
      </c>
      <c r="H18" s="11">
        <v>4613220.8090000004</v>
      </c>
      <c r="I18" s="11">
        <v>509325.48300000001</v>
      </c>
      <c r="J18" s="12">
        <v>94.181229999999999</v>
      </c>
      <c r="K18" s="11">
        <v>133.333</v>
      </c>
      <c r="L18" s="11">
        <v>1200</v>
      </c>
      <c r="M18" s="11">
        <v>0</v>
      </c>
      <c r="N18" s="15">
        <v>-1</v>
      </c>
      <c r="P18" s="17">
        <v>2000</v>
      </c>
      <c r="Q18" s="17">
        <v>0</v>
      </c>
      <c r="R18" s="17">
        <v>90</v>
      </c>
      <c r="S18" s="17">
        <f t="array" ref="S18:U18">_xll.hdm_k2xy_data(P18,Q18,R18,$G$3:$N$75)</f>
        <v>4616252.0530000003</v>
      </c>
      <c r="T18" s="17">
        <v>503411.05800000002</v>
      </c>
      <c r="U18" s="17">
        <v>1.024040028468483</v>
      </c>
      <c r="AC18">
        <f t="array" ref="AC18:AD18">_xll.map_xy2gps(S17,T17,"utm",$Y$4:$Z$8,$AA$4:$AB$8)</f>
        <v>45.040794485513366</v>
      </c>
      <c r="AD18">
        <v>41.697951096599709</v>
      </c>
    </row>
    <row r="19" spans="1:30" ht="22.5" customHeight="1" x14ac:dyDescent="0.15">
      <c r="A19" s="9">
        <v>4617034.142</v>
      </c>
      <c r="B19" s="9">
        <v>522208.63199999998</v>
      </c>
      <c r="C19" s="13">
        <v>155.76900000000001</v>
      </c>
      <c r="D19" s="13">
        <v>155.76900000000001</v>
      </c>
      <c r="E19" s="9">
        <v>1300</v>
      </c>
      <c r="G19" s="11">
        <v>9376.0830000000005</v>
      </c>
      <c r="H19" s="11">
        <v>4613215.7350000003</v>
      </c>
      <c r="I19" s="11">
        <v>509458.701</v>
      </c>
      <c r="J19" s="12">
        <v>91.071330000000003</v>
      </c>
      <c r="K19" s="11">
        <v>400.18599999999998</v>
      </c>
      <c r="L19" s="11">
        <v>0</v>
      </c>
      <c r="M19" s="11">
        <v>0</v>
      </c>
      <c r="N19" s="15">
        <v>0</v>
      </c>
      <c r="P19" s="17">
        <v>2020</v>
      </c>
      <c r="Q19" s="17">
        <v>0</v>
      </c>
      <c r="R19" s="17">
        <v>90</v>
      </c>
      <c r="S19" s="17">
        <f t="array" ref="S19:U19">_xll.hdm_k2xy_data(P19,Q19,R19,$G$3:$N$75)</f>
        <v>4616262.32</v>
      </c>
      <c r="T19" s="17">
        <v>503428.22200000001</v>
      </c>
      <c r="U19" s="17">
        <v>1.0394246438530983</v>
      </c>
      <c r="AC19">
        <f t="array" ref="AC19:AD19">_xll.map_xy2gps(S18,T18,"utm",$Y$4:$Z$8,$AA$4:$AB$8)</f>
        <v>45.040998900748292</v>
      </c>
      <c r="AD19">
        <v>41.698045860086488</v>
      </c>
    </row>
    <row r="20" spans="1:30" ht="22.5" customHeight="1" x14ac:dyDescent="0.15">
      <c r="A20" s="9">
        <v>4617024.6660000002</v>
      </c>
      <c r="B20" s="9">
        <v>522731.59399999998</v>
      </c>
      <c r="C20" s="13">
        <v>166.667</v>
      </c>
      <c r="D20" s="13">
        <v>166.667</v>
      </c>
      <c r="E20" s="9">
        <v>1500</v>
      </c>
      <c r="G20" s="11">
        <v>9776.2690000000002</v>
      </c>
      <c r="H20" s="11">
        <v>4613207.91</v>
      </c>
      <c r="I20" s="11">
        <v>509858.81099999999</v>
      </c>
      <c r="J20" s="12">
        <v>91.071330000000003</v>
      </c>
      <c r="K20" s="11">
        <v>155.76900000000001</v>
      </c>
      <c r="L20" s="11">
        <v>0</v>
      </c>
      <c r="M20" s="11">
        <v>1300</v>
      </c>
      <c r="N20" s="15">
        <v>-1</v>
      </c>
      <c r="P20" s="17">
        <v>2040</v>
      </c>
      <c r="Q20" s="17">
        <v>0</v>
      </c>
      <c r="R20" s="17">
        <v>90</v>
      </c>
      <c r="S20" s="17">
        <f t="array" ref="S20:U20">_xll.hdm_k2xy_data(P20,Q20,R20,$G$3:$N$75)</f>
        <v>4616272.3210000005</v>
      </c>
      <c r="T20" s="17">
        <v>503445.54100000003</v>
      </c>
      <c r="U20" s="17">
        <v>1.0548092592377136</v>
      </c>
      <c r="AC20">
        <f t="array" ref="AC20:AD20">_xll.map_xy2gps(S19,T19,"utm",$Y$4:$Z$8,$AA$4:$AB$8)</f>
        <v>45.041205237971845</v>
      </c>
      <c r="AD20">
        <v>41.698138262647767</v>
      </c>
    </row>
    <row r="21" spans="1:30" ht="22.5" customHeight="1" x14ac:dyDescent="0.15">
      <c r="A21" s="9">
        <v>4617167.2319999998</v>
      </c>
      <c r="B21" s="9">
        <v>523408.58</v>
      </c>
      <c r="C21" s="13">
        <v>133.334</v>
      </c>
      <c r="D21" s="13">
        <v>133.334</v>
      </c>
      <c r="E21" s="9">
        <v>1200</v>
      </c>
      <c r="G21" s="11">
        <v>9932.0380000000005</v>
      </c>
      <c r="H21" s="11">
        <v>4613207.9749999996</v>
      </c>
      <c r="I21" s="11">
        <v>510014.55499999999</v>
      </c>
      <c r="J21" s="12">
        <v>87.411559999999994</v>
      </c>
      <c r="K21" s="11">
        <v>528.06500000000005</v>
      </c>
      <c r="L21" s="11">
        <v>1300</v>
      </c>
      <c r="M21" s="11">
        <v>1300</v>
      </c>
      <c r="N21" s="15">
        <v>-1</v>
      </c>
      <c r="P21" s="17">
        <v>2060</v>
      </c>
      <c r="Q21" s="17">
        <v>0</v>
      </c>
      <c r="R21" s="17">
        <v>90</v>
      </c>
      <c r="S21" s="17">
        <f t="array" ref="S21:U21">_xll.hdm_k2xy_data(P21,Q21,R21,$G$3:$N$75)</f>
        <v>4616282.0549999997</v>
      </c>
      <c r="T21" s="17">
        <v>503463.01299999998</v>
      </c>
      <c r="U21" s="17">
        <v>1.070193874622329</v>
      </c>
      <c r="AC21">
        <f t="array" ref="AC21:AD21">_xll.map_xy2gps(S20,T20,"utm",$Y$4:$Z$8,$AA$4:$AB$8)</f>
        <v>45.041413437055972</v>
      </c>
      <c r="AD21">
        <v>41.698228268266369</v>
      </c>
    </row>
    <row r="22" spans="1:30" ht="22.5" customHeight="1" x14ac:dyDescent="0.15">
      <c r="A22" s="9">
        <v>4616856.3279999997</v>
      </c>
      <c r="B22" s="9">
        <v>524158.45799999998</v>
      </c>
      <c r="C22" s="13">
        <v>115.6</v>
      </c>
      <c r="D22" s="13">
        <v>115.6</v>
      </c>
      <c r="E22" s="9">
        <v>1000</v>
      </c>
      <c r="G22" s="11">
        <v>10460.102999999999</v>
      </c>
      <c r="H22" s="11">
        <v>4613334.3969999999</v>
      </c>
      <c r="I22" s="11">
        <v>510523.53100000002</v>
      </c>
      <c r="J22" s="12">
        <v>64.245009999999994</v>
      </c>
      <c r="K22" s="11">
        <v>155.76900000000001</v>
      </c>
      <c r="L22" s="11">
        <v>1300</v>
      </c>
      <c r="M22" s="11">
        <v>0</v>
      </c>
      <c r="N22" s="15">
        <v>-1</v>
      </c>
      <c r="P22" s="17">
        <v>2080</v>
      </c>
      <c r="Q22" s="17">
        <v>0</v>
      </c>
      <c r="R22" s="17">
        <v>90</v>
      </c>
      <c r="S22" s="17">
        <f t="array" ref="S22:U22">_xll.hdm_k2xy_data(P22,Q22,R22,$G$3:$N$75)</f>
        <v>4616291.5190000003</v>
      </c>
      <c r="T22" s="17">
        <v>503480.63199999998</v>
      </c>
      <c r="U22" s="17">
        <v>1.0855784900069445</v>
      </c>
      <c r="AC22">
        <f t="array" ref="AC22:AD22">_xll.map_xy2gps(S21,T21,"utm",$Y$4:$Z$8,$AA$4:$AB$8)</f>
        <v>45.041623473943204</v>
      </c>
      <c r="AD22">
        <v>41.698315867933879</v>
      </c>
    </row>
    <row r="23" spans="1:30" ht="22.5" customHeight="1" x14ac:dyDescent="0.15">
      <c r="A23" s="9">
        <v>4616993.5369999995</v>
      </c>
      <c r="B23" s="9">
        <v>524778.02</v>
      </c>
      <c r="C23" s="13">
        <v>130.381</v>
      </c>
      <c r="D23" s="13">
        <v>130.381</v>
      </c>
      <c r="E23" s="9">
        <v>1050</v>
      </c>
      <c r="G23" s="11">
        <v>10615.871999999999</v>
      </c>
      <c r="H23" s="11">
        <v>4613407.2130000005</v>
      </c>
      <c r="I23" s="11">
        <v>510661.20500000002</v>
      </c>
      <c r="J23" s="12">
        <v>60.585270000000001</v>
      </c>
      <c r="K23" s="11">
        <v>585.11900000000003</v>
      </c>
      <c r="L23" s="11">
        <v>0</v>
      </c>
      <c r="M23" s="11">
        <v>0</v>
      </c>
      <c r="N23" s="15">
        <v>0</v>
      </c>
      <c r="P23" s="17">
        <v>2100</v>
      </c>
      <c r="Q23" s="17">
        <v>0</v>
      </c>
      <c r="R23" s="17">
        <v>90</v>
      </c>
      <c r="S23" s="17">
        <f t="array" ref="S23:U23">_xll.hdm_k2xy_data(P23,Q23,R23,$G$3:$N$75)</f>
        <v>4616300.71</v>
      </c>
      <c r="T23" s="17">
        <v>503498.39399999997</v>
      </c>
      <c r="U23" s="17">
        <v>1.1009631053915598</v>
      </c>
      <c r="AC23">
        <f t="array" ref="AC23:AD23">_xll.map_xy2gps(S22,T22,"utm",$Y$4:$Z$8,$AA$4:$AB$8)</f>
        <v>45.041835276491163</v>
      </c>
      <c r="AD23">
        <v>41.69840103464513</v>
      </c>
    </row>
    <row r="24" spans="1:30" ht="22.5" customHeight="1" x14ac:dyDescent="0.15">
      <c r="A24" s="9">
        <v>4616868.9160000002</v>
      </c>
      <c r="B24" s="9">
        <v>525596.93500000006</v>
      </c>
      <c r="C24" s="13">
        <v>201.667</v>
      </c>
      <c r="D24" s="13">
        <v>201.667</v>
      </c>
      <c r="E24" s="9">
        <v>1500</v>
      </c>
      <c r="G24" s="11">
        <v>11200.991</v>
      </c>
      <c r="H24" s="11">
        <v>4613691.0520000001</v>
      </c>
      <c r="I24" s="11">
        <v>511172.86900000001</v>
      </c>
      <c r="J24" s="12">
        <v>60.585270000000001</v>
      </c>
      <c r="K24" s="11">
        <v>155.76900000000001</v>
      </c>
      <c r="L24" s="11">
        <v>0</v>
      </c>
      <c r="M24" s="11">
        <v>1300</v>
      </c>
      <c r="N24" s="15">
        <v>1</v>
      </c>
      <c r="P24" s="17">
        <v>2120</v>
      </c>
      <c r="Q24" s="17">
        <v>0</v>
      </c>
      <c r="R24" s="17">
        <v>90</v>
      </c>
      <c r="S24" s="17">
        <f t="array" ref="S24:U24">_xll.hdm_k2xy_data(P24,Q24,R24,$G$3:$N$75)</f>
        <v>4616309.6270000003</v>
      </c>
      <c r="T24" s="17">
        <v>503516.29599999997</v>
      </c>
      <c r="U24" s="17">
        <v>1.1163477207761752</v>
      </c>
      <c r="AC24">
        <f t="array" ref="AC24:AD24">_xll.map_xy2gps(S23,T23,"utm",$Y$4:$Z$8,$AA$4:$AB$8)</f>
        <v>45.042048796592695</v>
      </c>
      <c r="AD24">
        <v>41.698483741386681</v>
      </c>
    </row>
    <row r="25" spans="1:30" ht="22.5" customHeight="1" x14ac:dyDescent="0.15">
      <c r="A25" s="9">
        <v>4617307.7039999999</v>
      </c>
      <c r="B25" s="9">
        <v>526502.23</v>
      </c>
      <c r="C25" s="13">
        <v>155.76900000000001</v>
      </c>
      <c r="D25" s="13">
        <v>155.76900000000001</v>
      </c>
      <c r="E25" s="9">
        <v>1300</v>
      </c>
      <c r="G25" s="11">
        <v>11356.76</v>
      </c>
      <c r="H25" s="11">
        <v>4613763.8679999998</v>
      </c>
      <c r="I25" s="11">
        <v>511310.54300000001</v>
      </c>
      <c r="J25" s="12">
        <v>64.245040000000003</v>
      </c>
      <c r="K25" s="11">
        <v>387.97399999999999</v>
      </c>
      <c r="L25" s="11">
        <v>1300</v>
      </c>
      <c r="M25" s="11">
        <v>1300</v>
      </c>
      <c r="N25" s="15">
        <v>1</v>
      </c>
      <c r="P25" s="17">
        <v>2140</v>
      </c>
      <c r="Q25" s="17">
        <v>0</v>
      </c>
      <c r="R25" s="17">
        <v>90</v>
      </c>
      <c r="S25" s="17">
        <f t="array" ref="S25:U25">_xll.hdm_k2xy_data(P25,Q25,R25,$G$3:$N$75)</f>
        <v>4616318.2680000002</v>
      </c>
      <c r="T25" s="17">
        <v>503534.33299999998</v>
      </c>
      <c r="U25" s="17">
        <v>1.1317323361607907</v>
      </c>
      <c r="AC25">
        <f t="array" ref="AC25:AD25">_xll.map_xy2gps(S24,T24,"utm",$Y$4:$Z$8,$AA$4:$AB$8)</f>
        <v>45.042263998169531</v>
      </c>
      <c r="AD25">
        <v>41.698563979155182</v>
      </c>
    </row>
    <row r="26" spans="1:30" ht="22.5" customHeight="1" x14ac:dyDescent="0.15">
      <c r="A26" s="9">
        <v>4617268.1789999995</v>
      </c>
      <c r="B26" s="9">
        <v>526939.37199999997</v>
      </c>
      <c r="C26" s="10">
        <v>0</v>
      </c>
      <c r="D26" s="10">
        <v>0</v>
      </c>
      <c r="E26" s="10">
        <v>0</v>
      </c>
      <c r="G26" s="11">
        <v>11744.735000000001</v>
      </c>
      <c r="H26" s="11">
        <v>4613877.1140000001</v>
      </c>
      <c r="I26" s="11">
        <v>511680.11700000003</v>
      </c>
      <c r="J26" s="12">
        <v>81.304839999999999</v>
      </c>
      <c r="K26" s="11">
        <v>155.76900000000001</v>
      </c>
      <c r="L26" s="11">
        <v>1300</v>
      </c>
      <c r="M26" s="11">
        <v>0</v>
      </c>
      <c r="N26" s="15">
        <v>1</v>
      </c>
      <c r="P26" s="17">
        <v>2160</v>
      </c>
      <c r="Q26" s="17">
        <v>0</v>
      </c>
      <c r="R26" s="17">
        <v>90</v>
      </c>
      <c r="S26" s="17">
        <f t="array" ref="S26:U26">_xll.hdm_k2xy_data(P26,Q26,R26,$G$3:$N$75)</f>
        <v>4616326.63</v>
      </c>
      <c r="T26" s="17">
        <v>503552.5</v>
      </c>
      <c r="U26" s="17">
        <v>1.147116951545406</v>
      </c>
      <c r="AC26">
        <f t="array" ref="AC26:AD26">_xll.map_xy2gps(S25,T25,"utm",$Y$4:$Z$8,$AA$4:$AB$8)</f>
        <v>45.042480821100497</v>
      </c>
      <c r="AD26">
        <v>41.698641729949181</v>
      </c>
    </row>
    <row r="27" spans="1:30" ht="22.5" customHeight="1" x14ac:dyDescent="0.15">
      <c r="G27" s="11">
        <v>11900.508</v>
      </c>
      <c r="H27" s="11">
        <v>4613893.93</v>
      </c>
      <c r="I27" s="11">
        <v>511834.95500000002</v>
      </c>
      <c r="J27" s="12">
        <v>84.564580000000007</v>
      </c>
      <c r="K27" s="11">
        <v>122.5</v>
      </c>
      <c r="L27" s="11">
        <v>0</v>
      </c>
      <c r="M27" s="11">
        <v>1000</v>
      </c>
      <c r="N27" s="15">
        <v>-1</v>
      </c>
      <c r="P27" s="17">
        <v>2180</v>
      </c>
      <c r="Q27" s="17">
        <v>0</v>
      </c>
      <c r="R27" s="17">
        <v>90</v>
      </c>
      <c r="S27" s="17">
        <f t="array" ref="S27:U27">_xll.hdm_k2xy_data(P27,Q27,R27,$G$3:$N$75)</f>
        <v>4616334.7120000003</v>
      </c>
      <c r="T27" s="17">
        <v>503570.79499999998</v>
      </c>
      <c r="U27" s="17">
        <v>1.1625015669300214</v>
      </c>
      <c r="AC27">
        <f t="array" ref="AC27:AD27">_xll.map_xy2gps(S26,T26,"utm",$Y$4:$Z$8,$AA$4:$AB$8)</f>
        <v>45.042699205257485</v>
      </c>
      <c r="AD27">
        <v>41.698716966760578</v>
      </c>
    </row>
    <row r="28" spans="1:30" ht="22.5" customHeight="1" x14ac:dyDescent="0.15">
      <c r="G28" s="11">
        <v>12023.008</v>
      </c>
      <c r="H28" s="11">
        <v>4613907.2079999996</v>
      </c>
      <c r="I28" s="11">
        <v>511956.71299999999</v>
      </c>
      <c r="J28" s="12">
        <v>81.261200000000002</v>
      </c>
      <c r="K28" s="11">
        <v>810.62900000000002</v>
      </c>
      <c r="L28" s="11">
        <v>1000</v>
      </c>
      <c r="M28" s="11">
        <v>1000</v>
      </c>
      <c r="N28" s="15">
        <v>-1</v>
      </c>
      <c r="P28" s="17">
        <v>2200</v>
      </c>
      <c r="Q28" s="17">
        <v>0</v>
      </c>
      <c r="R28" s="17">
        <v>90</v>
      </c>
      <c r="S28" s="17">
        <f t="array" ref="S28:U28">_xll.hdm_k2xy_data(P28,Q28,R28,$G$3:$N$75)</f>
        <v>4616342.5120000001</v>
      </c>
      <c r="T28" s="17">
        <v>503589.21100000001</v>
      </c>
      <c r="U28" s="17">
        <v>1.1778861823146367</v>
      </c>
      <c r="AC28">
        <f t="array" ref="AC28:AD28">_xll.map_xy2gps(S27,T27,"utm",$Y$4:$Z$8,$AA$4:$AB$8)</f>
        <v>45.042919126578035</v>
      </c>
      <c r="AD28">
        <v>41.698789680582365</v>
      </c>
    </row>
    <row r="29" spans="1:30" ht="22.5" customHeight="1" x14ac:dyDescent="0.15">
      <c r="G29" s="11">
        <v>12833.636</v>
      </c>
      <c r="H29" s="11">
        <v>4614322.6109999996</v>
      </c>
      <c r="I29" s="11">
        <v>512627.05200000003</v>
      </c>
      <c r="J29" s="12">
        <v>34.592779999999998</v>
      </c>
      <c r="K29" s="11">
        <v>122.5</v>
      </c>
      <c r="L29" s="11">
        <v>1000</v>
      </c>
      <c r="M29" s="11">
        <v>0</v>
      </c>
      <c r="N29" s="15">
        <v>-1</v>
      </c>
      <c r="P29" s="17">
        <v>2220</v>
      </c>
      <c r="Q29" s="17">
        <v>0</v>
      </c>
      <c r="R29" s="17">
        <v>90</v>
      </c>
      <c r="S29" s="17">
        <f t="array" ref="S29:U29">_xll.hdm_k2xy_data(P29,Q29,R29,$G$3:$N$75)</f>
        <v>4616350.0269999998</v>
      </c>
      <c r="T29" s="17">
        <v>503607.745</v>
      </c>
      <c r="U29" s="17">
        <v>1.193270797699252</v>
      </c>
      <c r="AC29">
        <f t="array" ref="AC29:AD29">_xll.map_xy2gps(S28,T28,"utm",$Y$4:$Z$8,$AA$4:$AB$8)</f>
        <v>45.043140500901934</v>
      </c>
      <c r="AD29">
        <v>41.698859853423144</v>
      </c>
    </row>
    <row r="30" spans="1:30" ht="22.5" customHeight="1" x14ac:dyDescent="0.15">
      <c r="G30" s="11">
        <v>12956.137000000001</v>
      </c>
      <c r="H30" s="11">
        <v>4614425.7350000003</v>
      </c>
      <c r="I30" s="11">
        <v>512693.13299999997</v>
      </c>
      <c r="J30" s="12">
        <v>31.285419999999998</v>
      </c>
      <c r="K30" s="11">
        <v>178.57</v>
      </c>
      <c r="L30" s="11">
        <v>0</v>
      </c>
      <c r="M30" s="11">
        <v>1400</v>
      </c>
      <c r="N30" s="15">
        <v>1</v>
      </c>
      <c r="P30" s="17">
        <v>2240</v>
      </c>
      <c r="Q30" s="17">
        <v>0</v>
      </c>
      <c r="R30" s="17">
        <v>90</v>
      </c>
      <c r="S30" s="17">
        <f t="array" ref="S30:U30">_xll.hdm_k2xy_data(P30,Q30,R30,$G$3:$N$75)</f>
        <v>4616357.2560000001</v>
      </c>
      <c r="T30" s="17">
        <v>503626.39299999998</v>
      </c>
      <c r="U30" s="17">
        <v>1.2086554130838676</v>
      </c>
      <c r="AC30">
        <f t="array" ref="AC30:AD30">_xll.map_xy2gps(S29,T29,"utm",$Y$4:$Z$8,$AA$4:$AB$8)</f>
        <v>45.043363292134892</v>
      </c>
      <c r="AD30">
        <v>41.698927458266795</v>
      </c>
    </row>
    <row r="31" spans="1:30" ht="22.5" customHeight="1" x14ac:dyDescent="0.15">
      <c r="G31" s="11">
        <v>13134.707</v>
      </c>
      <c r="H31" s="11">
        <v>4614575.977</v>
      </c>
      <c r="I31" s="11">
        <v>512789.58600000001</v>
      </c>
      <c r="J31" s="12">
        <v>35.080889999999997</v>
      </c>
      <c r="K31" s="11">
        <v>708.48599999999999</v>
      </c>
      <c r="L31" s="11">
        <v>1400</v>
      </c>
      <c r="M31" s="11">
        <v>1400</v>
      </c>
      <c r="N31" s="15">
        <v>1</v>
      </c>
      <c r="P31" s="17">
        <v>2260</v>
      </c>
      <c r="Q31" s="17">
        <v>0</v>
      </c>
      <c r="R31" s="17">
        <v>90</v>
      </c>
      <c r="S31" s="17">
        <f t="array" ref="S31:U31">_xll.hdm_k2xy_data(P31,Q31,R31,$G$3:$N$75)</f>
        <v>4616364.1969999997</v>
      </c>
      <c r="T31" s="17">
        <v>503645.14899999998</v>
      </c>
      <c r="U31" s="17">
        <v>1.2240400284684829</v>
      </c>
      <c r="AC31">
        <f t="array" ref="AC31:AD31">_xll.map_xy2gps(S30,T30,"utm",$Y$4:$Z$8,$AA$4:$AB$8)</f>
        <v>45.043587452175693</v>
      </c>
      <c r="AD31">
        <v>41.698992486116261</v>
      </c>
    </row>
    <row r="32" spans="1:30" ht="22.5" customHeight="1" x14ac:dyDescent="0.15">
      <c r="G32" s="11">
        <v>13843.194</v>
      </c>
      <c r="H32" s="11">
        <v>4615029.966</v>
      </c>
      <c r="I32" s="11">
        <v>513323.65100000001</v>
      </c>
      <c r="J32" s="12">
        <v>64.07517</v>
      </c>
      <c r="K32" s="11">
        <v>178.57</v>
      </c>
      <c r="L32" s="11">
        <v>1400</v>
      </c>
      <c r="M32" s="11">
        <v>0</v>
      </c>
      <c r="N32" s="15">
        <v>1</v>
      </c>
      <c r="P32" s="17">
        <v>2280</v>
      </c>
      <c r="Q32" s="17">
        <v>0</v>
      </c>
      <c r="R32" s="17">
        <v>90</v>
      </c>
      <c r="S32" s="17">
        <f t="array" ref="S32:U32">_xll.hdm_k2xy_data(P32,Q32,R32,$G$3:$N$75)</f>
        <v>4616370.8490000004</v>
      </c>
      <c r="T32" s="17">
        <v>503664.01</v>
      </c>
      <c r="U32" s="17">
        <v>1.2394246438530983</v>
      </c>
      <c r="AC32">
        <f t="array" ref="AC32:AD32">_xll.map_xy2gps(S31,T31,"utm",$Y$4:$Z$8,$AA$4:$AB$8)</f>
        <v>45.043812908879822</v>
      </c>
      <c r="AD32">
        <v>41.699054918976849</v>
      </c>
    </row>
    <row r="33" spans="7:30" ht="22.5" customHeight="1" x14ac:dyDescent="0.15">
      <c r="G33" s="11">
        <v>14021.763999999999</v>
      </c>
      <c r="H33" s="11">
        <v>4615100.9670000002</v>
      </c>
      <c r="I33" s="11">
        <v>513487.46399999998</v>
      </c>
      <c r="J33" s="12">
        <v>67.470600000000005</v>
      </c>
      <c r="K33" s="11">
        <v>1124.327</v>
      </c>
      <c r="L33" s="11">
        <v>0</v>
      </c>
      <c r="M33" s="11">
        <v>0</v>
      </c>
      <c r="N33" s="15">
        <v>0</v>
      </c>
      <c r="P33" s="17">
        <v>2300</v>
      </c>
      <c r="Q33" s="17">
        <v>0</v>
      </c>
      <c r="R33" s="17">
        <v>90</v>
      </c>
      <c r="S33" s="17">
        <f t="array" ref="S33:U33">_xll.hdm_k2xy_data(P33,Q33,R33,$G$3:$N$75)</f>
        <v>4616377.21</v>
      </c>
      <c r="T33" s="17">
        <v>503682.97200000001</v>
      </c>
      <c r="U33" s="17">
        <v>1.2548092592377138</v>
      </c>
      <c r="AC33">
        <f t="array" ref="AC33:AD33">_xll.map_xy2gps(S32,T32,"utm",$Y$4:$Z$8,$AA$4:$AB$8)</f>
        <v>45.044039626162885</v>
      </c>
      <c r="AD33">
        <v>41.699114747847688</v>
      </c>
    </row>
    <row r="34" spans="7:30" ht="22.5" customHeight="1" x14ac:dyDescent="0.15">
      <c r="G34" s="11">
        <v>15146.091</v>
      </c>
      <c r="H34" s="11">
        <v>4615526.0559999999</v>
      </c>
      <c r="I34" s="11">
        <v>514528.33399999997</v>
      </c>
      <c r="J34" s="12">
        <v>67.470600000000005</v>
      </c>
      <c r="K34" s="11">
        <v>326.66699999999997</v>
      </c>
      <c r="L34" s="11">
        <v>0</v>
      </c>
      <c r="M34" s="11">
        <v>1500</v>
      </c>
      <c r="N34" s="15">
        <v>-1</v>
      </c>
      <c r="P34" s="17">
        <v>2320</v>
      </c>
      <c r="Q34" s="17">
        <v>0</v>
      </c>
      <c r="R34" s="17">
        <v>90</v>
      </c>
      <c r="S34" s="17">
        <f t="array" ref="S34:U34">_xll.hdm_k2xy_data(P34,Q34,R34,$G$3:$N$75)</f>
        <v>4616383.2790000001</v>
      </c>
      <c r="T34" s="17">
        <v>503702.02899999998</v>
      </c>
      <c r="U34" s="17">
        <v>1.2701938746223291</v>
      </c>
      <c r="AC34">
        <f t="array" ref="AC34:AD34">_xll.map_xy2gps(S33,T33,"utm",$Y$4:$Z$8,$AA$4:$AB$8)</f>
        <v>45.04426755591544</v>
      </c>
      <c r="AD34">
        <v>41.699171954725649</v>
      </c>
    </row>
    <row r="35" spans="7:30" ht="22.5" customHeight="1" x14ac:dyDescent="0.15">
      <c r="G35" s="11">
        <v>15472.758</v>
      </c>
      <c r="H35" s="11">
        <v>4615660.3839999996</v>
      </c>
      <c r="I35" s="11">
        <v>514825.91499999998</v>
      </c>
      <c r="J35" s="12">
        <v>61.324570000000001</v>
      </c>
      <c r="K35" s="11">
        <v>303.68099999999998</v>
      </c>
      <c r="L35" s="11">
        <v>1500</v>
      </c>
      <c r="M35" s="11">
        <v>1500</v>
      </c>
      <c r="N35" s="15">
        <v>-1</v>
      </c>
      <c r="P35" s="17">
        <v>2340</v>
      </c>
      <c r="Q35" s="17">
        <v>0</v>
      </c>
      <c r="R35" s="17">
        <v>90</v>
      </c>
      <c r="S35" s="17">
        <f t="array" ref="S35:U35">_xll.hdm_k2xy_data(P35,Q35,R35,$G$3:$N$75)</f>
        <v>4616389.0539999995</v>
      </c>
      <c r="T35" s="17">
        <v>503721.17599999998</v>
      </c>
      <c r="U35" s="17">
        <v>1.2855784900069445</v>
      </c>
      <c r="AC35">
        <f t="array" ref="AC35:AD35">_xll.map_xy2gps(S34,T34,"utm",$Y$4:$Z$8,$AA$4:$AB$8)</f>
        <v>45.044496625996985</v>
      </c>
      <c r="AD35">
        <v>41.699226530624379</v>
      </c>
    </row>
    <row r="36" spans="7:30" ht="22.5" customHeight="1" x14ac:dyDescent="0.15">
      <c r="G36" s="11">
        <v>15776.439</v>
      </c>
      <c r="H36" s="11">
        <v>4615831.023</v>
      </c>
      <c r="I36" s="11">
        <v>515076.495</v>
      </c>
      <c r="J36" s="12">
        <v>49.56465</v>
      </c>
      <c r="K36" s="11">
        <v>326.66699999999997</v>
      </c>
      <c r="L36" s="11">
        <v>1500</v>
      </c>
      <c r="M36" s="11">
        <v>0</v>
      </c>
      <c r="N36" s="15">
        <v>-1</v>
      </c>
      <c r="P36" s="17">
        <v>2360</v>
      </c>
      <c r="Q36" s="17">
        <v>0</v>
      </c>
      <c r="R36" s="17">
        <v>90</v>
      </c>
      <c r="S36" s="17">
        <f t="array" ref="S36:U36">_xll.hdm_k2xy_data(P36,Q36,R36,$G$3:$N$75)</f>
        <v>4616394.5329999998</v>
      </c>
      <c r="T36" s="17">
        <v>503740.41100000002</v>
      </c>
      <c r="U36" s="17">
        <v>1.3009631053915598</v>
      </c>
      <c r="AC36">
        <f t="array" ref="AC36:AD36">_xll.map_xy2gps(S35,T35,"utm",$Y$4:$Z$8,$AA$4:$AB$8)</f>
        <v>45.044726776278367</v>
      </c>
      <c r="AD36">
        <v>41.699278457546242</v>
      </c>
    </row>
    <row r="37" spans="7:30" ht="22.5" customHeight="1" x14ac:dyDescent="0.15">
      <c r="G37" s="11">
        <v>16103.108</v>
      </c>
      <c r="H37" s="11">
        <v>4616058.6979999999</v>
      </c>
      <c r="I37" s="11">
        <v>515310.51299999998</v>
      </c>
      <c r="J37" s="12">
        <v>43.422690000000003</v>
      </c>
      <c r="K37" s="11">
        <v>233.333</v>
      </c>
      <c r="L37" s="11">
        <v>0</v>
      </c>
      <c r="M37" s="11">
        <v>2100</v>
      </c>
      <c r="N37" s="15">
        <v>1</v>
      </c>
      <c r="P37" s="17">
        <v>2380</v>
      </c>
      <c r="Q37" s="17">
        <v>0</v>
      </c>
      <c r="R37" s="17">
        <v>90</v>
      </c>
      <c r="S37" s="17">
        <f t="array" ref="S37:U37">_xll.hdm_k2xy_data(P37,Q37,R37,$G$3:$N$75)</f>
        <v>4616399.716</v>
      </c>
      <c r="T37" s="17">
        <v>503759.728</v>
      </c>
      <c r="U37" s="17">
        <v>1.3163477207761751</v>
      </c>
      <c r="AC37">
        <f t="array" ref="AC37:AD37">_xll.map_xy2gps(S36,T36,"utm",$Y$4:$Z$8,$AA$4:$AB$8)</f>
        <v>45.044957982684721</v>
      </c>
      <c r="AD37">
        <v>41.699327717479996</v>
      </c>
    </row>
    <row r="38" spans="7:30" ht="22.5" customHeight="1" x14ac:dyDescent="0.15">
      <c r="G38" s="11">
        <v>16336.441000000001</v>
      </c>
      <c r="H38" s="11">
        <v>4616224.3320000004</v>
      </c>
      <c r="I38" s="11">
        <v>515474.81300000002</v>
      </c>
      <c r="J38" s="12">
        <v>46.532629999999997</v>
      </c>
      <c r="K38" s="11">
        <v>403.43099999999998</v>
      </c>
      <c r="L38" s="11">
        <v>2100</v>
      </c>
      <c r="M38" s="11">
        <v>2100</v>
      </c>
      <c r="N38" s="15">
        <v>1</v>
      </c>
      <c r="P38" s="17">
        <v>2400</v>
      </c>
      <c r="Q38" s="17">
        <v>0</v>
      </c>
      <c r="R38" s="17">
        <v>90</v>
      </c>
      <c r="S38" s="17">
        <f t="array" ref="S38:U38">_xll.hdm_k2xy_data(P38,Q38,R38,$G$3:$N$75)</f>
        <v>4616404.6009999998</v>
      </c>
      <c r="T38" s="17">
        <v>503779.12199999997</v>
      </c>
      <c r="U38" s="17">
        <v>1.3317323361607907</v>
      </c>
      <c r="AC38">
        <f t="array" ref="AC38:AD38">_xll.map_xy2gps(S37,T37,"utm",$Y$4:$Z$8,$AA$4:$AB$8)</f>
        <v>45.045190173079838</v>
      </c>
      <c r="AD38">
        <v>41.699374310447638</v>
      </c>
    </row>
    <row r="39" spans="7:30" ht="22.5" customHeight="1" x14ac:dyDescent="0.15">
      <c r="G39" s="11">
        <v>16739.871999999999</v>
      </c>
      <c r="H39" s="11">
        <v>4616470.1380000003</v>
      </c>
      <c r="I39" s="11">
        <v>515793.93199999997</v>
      </c>
      <c r="J39" s="12">
        <v>57.535179999999997</v>
      </c>
      <c r="K39" s="11">
        <v>233.333</v>
      </c>
      <c r="L39" s="11">
        <v>2100</v>
      </c>
      <c r="M39" s="11">
        <v>0</v>
      </c>
      <c r="N39" s="15">
        <v>1</v>
      </c>
      <c r="P39" s="17">
        <v>2420</v>
      </c>
      <c r="Q39" s="17">
        <v>0</v>
      </c>
      <c r="R39" s="17">
        <v>90</v>
      </c>
      <c r="S39" s="17">
        <f t="array" ref="S39:U39">_xll.hdm_k2xy_data(P39,Q39,R39,$G$3:$N$75)</f>
        <v>4616409.1869999999</v>
      </c>
      <c r="T39" s="17">
        <v>503798.58799999999</v>
      </c>
      <c r="U39" s="17">
        <v>1.347116951545406</v>
      </c>
      <c r="AC39">
        <f t="array" ref="AC39:AD39">_xll.map_xy2gps(S38,T38,"utm",$Y$4:$Z$8,$AA$4:$AB$8)</f>
        <v>45.045423287332774</v>
      </c>
      <c r="AD39">
        <v>41.699418218452799</v>
      </c>
    </row>
    <row r="40" spans="7:30" ht="22.5" customHeight="1" x14ac:dyDescent="0.15">
      <c r="G40" s="11">
        <v>16973.205000000002</v>
      </c>
      <c r="H40" s="11">
        <v>4616586.7189999996</v>
      </c>
      <c r="I40" s="11">
        <v>515996.016</v>
      </c>
      <c r="J40" s="12">
        <v>61.045070000000003</v>
      </c>
      <c r="K40" s="11">
        <v>1146.828</v>
      </c>
      <c r="L40" s="11">
        <v>0</v>
      </c>
      <c r="M40" s="11">
        <v>0</v>
      </c>
      <c r="N40" s="15">
        <v>0</v>
      </c>
      <c r="P40" s="17">
        <v>2440</v>
      </c>
      <c r="Q40" s="17">
        <v>0</v>
      </c>
      <c r="R40" s="17">
        <v>90</v>
      </c>
      <c r="S40" s="17">
        <f t="array" ref="S40:U40">_xll.hdm_k2xy_data(P40,Q40,R40,$G$3:$N$75)</f>
        <v>4616413.4740000004</v>
      </c>
      <c r="T40" s="17">
        <v>503818.12400000001</v>
      </c>
      <c r="U40" s="17">
        <v>1.3625015669300213</v>
      </c>
      <c r="AC40">
        <f t="array" ref="AC40:AD40">_xll.map_xy2gps(S39,T39,"utm",$Y$4:$Z$8,$AA$4:$AB$8)</f>
        <v>45.045657265318255</v>
      </c>
      <c r="AD40">
        <v>41.699459432506629</v>
      </c>
    </row>
    <row r="41" spans="7:30" ht="22.5" customHeight="1" x14ac:dyDescent="0.15">
      <c r="G41" s="11">
        <v>18120.034</v>
      </c>
      <c r="H41" s="11">
        <v>4617141.2980000004</v>
      </c>
      <c r="I41" s="11">
        <v>516999.837</v>
      </c>
      <c r="J41" s="12">
        <v>61.045070000000003</v>
      </c>
      <c r="K41" s="11">
        <v>385.54199999999997</v>
      </c>
      <c r="L41" s="11">
        <v>0</v>
      </c>
      <c r="M41" s="11">
        <v>1660</v>
      </c>
      <c r="N41" s="15">
        <v>1</v>
      </c>
      <c r="P41" s="17">
        <v>2460</v>
      </c>
      <c r="Q41" s="17">
        <v>0</v>
      </c>
      <c r="R41" s="17">
        <v>90</v>
      </c>
      <c r="S41" s="17">
        <f t="array" ref="S41:U41">_xll.hdm_k2xy_data(P41,Q41,R41,$G$3:$N$75)</f>
        <v>4616417.4589999998</v>
      </c>
      <c r="T41" s="17">
        <v>503837.72200000001</v>
      </c>
      <c r="U41" s="17">
        <v>1.3778861823146369</v>
      </c>
      <c r="AC41">
        <f t="array" ref="AC41:AD41">_xll.map_xy2gps(S40,T40,"utm",$Y$4:$Z$8,$AA$4:$AB$8)</f>
        <v>45.045892082971946</v>
      </c>
      <c r="AD41">
        <v>41.699497952613548</v>
      </c>
    </row>
    <row r="42" spans="7:30" ht="22.5" customHeight="1" x14ac:dyDescent="0.15">
      <c r="G42" s="11">
        <v>18505.576000000001</v>
      </c>
      <c r="H42" s="11">
        <v>4617314.4349999996</v>
      </c>
      <c r="I42" s="11">
        <v>517344.05800000002</v>
      </c>
      <c r="J42" s="12">
        <v>67.44041</v>
      </c>
      <c r="K42" s="11">
        <v>1115.125</v>
      </c>
      <c r="L42" s="11">
        <v>1660</v>
      </c>
      <c r="M42" s="11">
        <v>1660</v>
      </c>
      <c r="N42" s="15">
        <v>1</v>
      </c>
      <c r="P42" s="17">
        <v>2480</v>
      </c>
      <c r="Q42" s="17">
        <v>0</v>
      </c>
      <c r="R42" s="17">
        <v>90</v>
      </c>
      <c r="S42" s="17">
        <f t="array" ref="S42:U42">_xll.hdm_k2xy_data(P42,Q42,R42,$G$3:$N$75)</f>
        <v>4616421.142</v>
      </c>
      <c r="T42" s="17">
        <v>503857.38</v>
      </c>
      <c r="U42" s="17">
        <v>1.3932707976992522</v>
      </c>
      <c r="AC42">
        <f t="array" ref="AC42:AD42">_xll.map_xy2gps(S41,T41,"utm",$Y$4:$Z$8,$AA$4:$AB$8)</f>
        <v>45.04612764409984</v>
      </c>
      <c r="AD42">
        <v>41.699533751785616</v>
      </c>
    </row>
    <row r="43" spans="7:30" ht="22.5" customHeight="1" x14ac:dyDescent="0.15">
      <c r="G43" s="11">
        <v>19620.7</v>
      </c>
      <c r="H43" s="11">
        <v>4617372.1050000004</v>
      </c>
      <c r="I43" s="11">
        <v>518436.81300000002</v>
      </c>
      <c r="J43" s="12">
        <v>106.13249</v>
      </c>
      <c r="K43" s="11">
        <v>385.54199999999997</v>
      </c>
      <c r="L43" s="11">
        <v>1660</v>
      </c>
      <c r="M43" s="11">
        <v>0</v>
      </c>
      <c r="N43" s="15">
        <v>1</v>
      </c>
      <c r="P43" s="17">
        <v>2500</v>
      </c>
      <c r="Q43" s="17">
        <v>0</v>
      </c>
      <c r="R43" s="17">
        <v>90</v>
      </c>
      <c r="S43" s="17">
        <f t="array" ref="S43:U43">_xll.hdm_k2xy_data(P43,Q43,R43,$G$3:$N$75)</f>
        <v>4616424.5219999999</v>
      </c>
      <c r="T43" s="17">
        <v>503877.092</v>
      </c>
      <c r="U43" s="17">
        <v>1.4086554130838675</v>
      </c>
      <c r="AC43">
        <f t="array" ref="AC43:AD43">_xll.map_xy2gps(S42,T42,"utm",$Y$4:$Z$8,$AA$4:$AB$8)</f>
        <v>45.046363924636672</v>
      </c>
      <c r="AD43">
        <v>41.699566830028026</v>
      </c>
    </row>
    <row r="44" spans="7:30" ht="22.5" customHeight="1" x14ac:dyDescent="0.15">
      <c r="G44" s="11">
        <v>20006.241999999998</v>
      </c>
      <c r="H44" s="11">
        <v>4617236.165</v>
      </c>
      <c r="I44" s="11">
        <v>518797.34600000002</v>
      </c>
      <c r="J44" s="12">
        <v>112.52374</v>
      </c>
      <c r="K44" s="11">
        <v>634.05200000000002</v>
      </c>
      <c r="L44" s="11">
        <v>0</v>
      </c>
      <c r="M44" s="11">
        <v>0</v>
      </c>
      <c r="N44" s="15">
        <v>0</v>
      </c>
      <c r="P44" s="17">
        <v>2520</v>
      </c>
      <c r="Q44" s="17">
        <v>0</v>
      </c>
      <c r="R44" s="17">
        <v>90</v>
      </c>
      <c r="S44" s="17">
        <f t="array" ref="S44:U44">_xll.hdm_k2xy_data(P44,Q44,R44,$G$3:$N$75)</f>
        <v>4616427.5990000004</v>
      </c>
      <c r="T44" s="17">
        <v>503896.85399999999</v>
      </c>
      <c r="U44" s="17">
        <v>1.4240400284684829</v>
      </c>
      <c r="AC44">
        <f t="array" ref="AC44:AD44">_xll.map_xy2gps(S43,T43,"utm",$Y$4:$Z$8,$AA$4:$AB$8)</f>
        <v>45.046600852436981</v>
      </c>
      <c r="AD44">
        <v>41.699597178358538</v>
      </c>
    </row>
    <row r="45" spans="7:30" ht="22.5" customHeight="1" x14ac:dyDescent="0.15">
      <c r="G45" s="11">
        <v>20640.294000000002</v>
      </c>
      <c r="H45" s="11">
        <v>4616989.6739999996</v>
      </c>
      <c r="I45" s="11">
        <v>519381.52399999998</v>
      </c>
      <c r="J45" s="12">
        <v>112.52374</v>
      </c>
      <c r="K45" s="11">
        <v>155.76900000000001</v>
      </c>
      <c r="L45" s="11">
        <v>0</v>
      </c>
      <c r="M45" s="11">
        <v>1300</v>
      </c>
      <c r="N45" s="15">
        <v>-1</v>
      </c>
      <c r="P45" s="17">
        <v>2540</v>
      </c>
      <c r="Q45" s="17">
        <v>0</v>
      </c>
      <c r="R45" s="17">
        <v>90</v>
      </c>
      <c r="S45" s="17">
        <f t="array" ref="S45:U45">_xll.hdm_k2xy_data(P45,Q45,R45,$G$3:$N$75)</f>
        <v>4616430.3710000003</v>
      </c>
      <c r="T45" s="17">
        <v>503916.66100000002</v>
      </c>
      <c r="U45" s="17">
        <v>1.4394246438530982</v>
      </c>
      <c r="AC45">
        <f t="array" ref="AC45:AD45">_xll.map_xy2gps(S44,T44,"utm",$Y$4:$Z$8,$AA$4:$AB$8)</f>
        <v>45.046838379398139</v>
      </c>
      <c r="AD45">
        <v>41.699624796792733</v>
      </c>
    </row>
    <row r="46" spans="7:30" ht="22.5" customHeight="1" x14ac:dyDescent="0.15">
      <c r="G46" s="11">
        <v>20796.062999999998</v>
      </c>
      <c r="H46" s="11">
        <v>4616932.0049999999</v>
      </c>
      <c r="I46" s="11">
        <v>519526.19799999997</v>
      </c>
      <c r="J46" s="12">
        <v>109.26397</v>
      </c>
      <c r="K46" s="11">
        <v>526.68299999999999</v>
      </c>
      <c r="L46" s="11">
        <v>1300</v>
      </c>
      <c r="M46" s="11">
        <v>1300</v>
      </c>
      <c r="N46" s="15">
        <v>-1</v>
      </c>
      <c r="P46" s="17">
        <v>2560</v>
      </c>
      <c r="Q46" s="17">
        <v>0</v>
      </c>
      <c r="R46" s="17">
        <v>90</v>
      </c>
      <c r="S46" s="17">
        <f t="array" ref="S46:U46">_xll.hdm_k2xy_data(P46,Q46,R46,$G$3:$N$75)</f>
        <v>4616432.8389999997</v>
      </c>
      <c r="T46" s="17">
        <v>503936.50799999997</v>
      </c>
      <c r="U46" s="17">
        <v>1.4548092592377135</v>
      </c>
      <c r="AC46">
        <f t="array" ref="AC46:AD46">_xll.map_xy2gps(S45,T45,"utm",$Y$4:$Z$8,$AA$4:$AB$8)</f>
        <v>45.047076445385805</v>
      </c>
      <c r="AD46">
        <v>41.699649667337326</v>
      </c>
    </row>
    <row r="47" spans="7:30" ht="22.5" customHeight="1" x14ac:dyDescent="0.15">
      <c r="G47" s="11">
        <v>21322.745999999999</v>
      </c>
      <c r="H47" s="11">
        <v>4616860.6710000001</v>
      </c>
      <c r="I47" s="11">
        <v>520044.39899999998</v>
      </c>
      <c r="J47" s="12">
        <v>86.135339999999999</v>
      </c>
      <c r="K47" s="11">
        <v>155.76900000000001</v>
      </c>
      <c r="L47" s="11">
        <v>1300</v>
      </c>
      <c r="M47" s="11">
        <v>0</v>
      </c>
      <c r="N47" s="15">
        <v>-1</v>
      </c>
      <c r="P47" s="17">
        <v>2580</v>
      </c>
      <c r="Q47" s="17">
        <v>0</v>
      </c>
      <c r="R47" s="17">
        <v>90</v>
      </c>
      <c r="S47" s="17">
        <f t="array" ref="S47:U47">_xll.hdm_k2xy_data(P47,Q47,R47,$G$3:$N$75)</f>
        <v>4616435</v>
      </c>
      <c r="T47" s="17">
        <v>503956.39</v>
      </c>
      <c r="U47" s="17">
        <v>1.4701938746223291</v>
      </c>
      <c r="AC47">
        <f t="array" ref="AC47:AD47">_xll.map_xy2gps(S46,T46,"utm",$Y$4:$Z$8,$AA$4:$AB$8)</f>
        <v>45.047314990284903</v>
      </c>
      <c r="AD47">
        <v>41.699671799020877</v>
      </c>
    </row>
    <row r="48" spans="7:30" ht="22.5" customHeight="1" x14ac:dyDescent="0.15">
      <c r="G48" s="11">
        <v>21478.514999999999</v>
      </c>
      <c r="H48" s="11">
        <v>4616877.1040000003</v>
      </c>
      <c r="I48" s="11">
        <v>520199.27399999998</v>
      </c>
      <c r="J48" s="12">
        <v>82.4756</v>
      </c>
      <c r="K48" s="11">
        <v>481.40800000000002</v>
      </c>
      <c r="L48" s="11">
        <v>0</v>
      </c>
      <c r="M48" s="11">
        <v>0</v>
      </c>
      <c r="N48" s="15">
        <v>0</v>
      </c>
      <c r="P48" s="17">
        <v>2600</v>
      </c>
      <c r="Q48" s="17">
        <v>0</v>
      </c>
      <c r="R48" s="17">
        <v>90</v>
      </c>
      <c r="S48" s="17">
        <f t="array" ref="S48:U48">_xll.hdm_k2xy_data(P48,Q48,R48,$G$3:$N$75)</f>
        <v>4616436.8559999997</v>
      </c>
      <c r="T48" s="17">
        <v>503976.304</v>
      </c>
      <c r="U48" s="17">
        <v>1.4855784900069444</v>
      </c>
      <c r="AC48">
        <f t="array" ref="AC48:AD48">_xll.map_xy2gps(S47,T47,"utm",$Y$4:$Z$8,$AA$4:$AB$8)</f>
        <v>45.047553953953766</v>
      </c>
      <c r="AD48">
        <v>41.699691164843905</v>
      </c>
    </row>
    <row r="49" spans="7:30" ht="22.5" customHeight="1" x14ac:dyDescent="0.15">
      <c r="G49" s="11">
        <v>21959.922999999999</v>
      </c>
      <c r="H49" s="11">
        <v>4616937.449</v>
      </c>
      <c r="I49" s="11">
        <v>520676.88500000001</v>
      </c>
      <c r="J49" s="12">
        <v>82.4756</v>
      </c>
      <c r="K49" s="11">
        <v>155.76900000000001</v>
      </c>
      <c r="L49" s="11">
        <v>0</v>
      </c>
      <c r="M49" s="11">
        <v>1300</v>
      </c>
      <c r="N49" s="15">
        <v>1</v>
      </c>
      <c r="P49" s="17">
        <v>2620</v>
      </c>
      <c r="Q49" s="17">
        <v>0</v>
      </c>
      <c r="R49" s="17">
        <v>90</v>
      </c>
      <c r="S49" s="17">
        <f t="array" ref="S49:U49">_xll.hdm_k2xy_data(P49,Q49,R49,$G$3:$N$75)</f>
        <v>4616438.4050000003</v>
      </c>
      <c r="T49" s="17">
        <v>503996.24400000001</v>
      </c>
      <c r="U49" s="17">
        <v>1.50096310539156</v>
      </c>
      <c r="AC49">
        <f t="array" ref="AC49:AD49">_xll.map_xy2gps(S48,T48,"utm",$Y$4:$Z$8,$AA$4:$AB$8)</f>
        <v>45.047793300320237</v>
      </c>
      <c r="AD49">
        <v>41.699707782833109</v>
      </c>
    </row>
    <row r="50" spans="7:30" ht="22.5" customHeight="1" x14ac:dyDescent="0.15">
      <c r="G50" s="11">
        <v>22115.691999999999</v>
      </c>
      <c r="H50" s="11">
        <v>4616953.8830000004</v>
      </c>
      <c r="I50" s="11">
        <v>520831.76</v>
      </c>
      <c r="J50" s="12">
        <v>86.135369999999995</v>
      </c>
      <c r="K50" s="11">
        <v>234.00200000000001</v>
      </c>
      <c r="L50" s="11">
        <v>1300</v>
      </c>
      <c r="M50" s="11">
        <v>1300</v>
      </c>
      <c r="N50" s="15">
        <v>1</v>
      </c>
      <c r="P50" s="17">
        <v>2640</v>
      </c>
      <c r="Q50" s="17">
        <v>0</v>
      </c>
      <c r="R50" s="17">
        <v>90</v>
      </c>
      <c r="S50" s="17">
        <f t="array" ref="S50:U50">_xll.hdm_k2xy_data(P50,Q50,R50,$G$3:$N$75)</f>
        <v>4616439.6469999999</v>
      </c>
      <c r="T50" s="17">
        <v>504016.20500000002</v>
      </c>
      <c r="U50" s="17">
        <v>1.5163477207761753</v>
      </c>
      <c r="AC50">
        <f t="array" ref="AC50:AD50">_xll.map_xy2gps(S49,T49,"utm",$Y$4:$Z$8,$AA$4:$AB$8)</f>
        <v>45.04803295723034</v>
      </c>
      <c r="AD50">
        <v>41.699721635001971</v>
      </c>
    </row>
    <row r="51" spans="7:30" ht="22.5" customHeight="1" x14ac:dyDescent="0.15">
      <c r="G51" s="11">
        <v>22349.694</v>
      </c>
      <c r="H51" s="11">
        <v>4616948.2209999999</v>
      </c>
      <c r="I51" s="11">
        <v>521065.37699999998</v>
      </c>
      <c r="J51" s="12">
        <v>96.324169999999995</v>
      </c>
      <c r="K51" s="11">
        <v>155.76900000000001</v>
      </c>
      <c r="L51" s="11">
        <v>1300</v>
      </c>
      <c r="M51" s="11">
        <v>0</v>
      </c>
      <c r="N51" s="15">
        <v>1</v>
      </c>
      <c r="P51" s="17">
        <v>2660</v>
      </c>
      <c r="Q51" s="17">
        <v>0</v>
      </c>
      <c r="R51" s="17">
        <v>90</v>
      </c>
      <c r="S51" s="17">
        <f t="array" ref="S51:U51">_xll.hdm_k2xy_data(P51,Q51,R51,$G$3:$N$75)</f>
        <v>4616440.5810000002</v>
      </c>
      <c r="T51" s="17">
        <v>504036.18300000002</v>
      </c>
      <c r="U51" s="17">
        <v>1.5317323361607906</v>
      </c>
      <c r="AC51">
        <f t="array" ref="AC51:AD51">_xll.map_xy2gps(S50,T50,"utm",$Y$4:$Z$8,$AA$4:$AB$8)</f>
        <v>45.048272864561518</v>
      </c>
      <c r="AD51">
        <v>41.699732721373834</v>
      </c>
    </row>
    <row r="52" spans="7:30" ht="22.5" customHeight="1" x14ac:dyDescent="0.15">
      <c r="G52" s="11">
        <v>22505.464</v>
      </c>
      <c r="H52" s="11">
        <v>4616924.3049999997</v>
      </c>
      <c r="I52" s="11">
        <v>521219.27500000002</v>
      </c>
      <c r="J52" s="12">
        <v>99.583910000000003</v>
      </c>
      <c r="K52" s="11">
        <v>155.76900000000001</v>
      </c>
      <c r="L52" s="11">
        <v>0</v>
      </c>
      <c r="M52" s="11">
        <v>1300</v>
      </c>
      <c r="N52" s="15">
        <v>-1</v>
      </c>
      <c r="P52" s="17">
        <v>2680</v>
      </c>
      <c r="Q52" s="17">
        <v>0</v>
      </c>
      <c r="R52" s="17">
        <v>90</v>
      </c>
      <c r="S52" s="17">
        <f t="array" ref="S52:U52">_xll.hdm_k2xy_data(P52,Q52,R52,$G$3:$N$75)</f>
        <v>4616441.2089999998</v>
      </c>
      <c r="T52" s="17">
        <v>504056.17300000001</v>
      </c>
      <c r="U52" s="17">
        <v>1.547116951545406</v>
      </c>
      <c r="AC52">
        <f t="array" ref="AC52:AD52">_xll.map_xy2gps(S51,T51,"utm",$Y$4:$Z$8,$AA$4:$AB$8)</f>
        <v>45.048512974202751</v>
      </c>
      <c r="AD52">
        <v>41.69974103296034</v>
      </c>
    </row>
    <row r="53" spans="7:30" ht="22.5" customHeight="1" x14ac:dyDescent="0.15">
      <c r="G53" s="11">
        <v>22661.233</v>
      </c>
      <c r="H53" s="11">
        <v>4616900.3890000004</v>
      </c>
      <c r="I53" s="11">
        <v>521373.17200000002</v>
      </c>
      <c r="J53" s="12">
        <v>96.324129999999997</v>
      </c>
      <c r="K53" s="11">
        <v>427.649</v>
      </c>
      <c r="L53" s="11">
        <v>1300</v>
      </c>
      <c r="M53" s="11">
        <v>1300</v>
      </c>
      <c r="N53" s="15">
        <v>-1</v>
      </c>
      <c r="P53" s="17">
        <v>2700</v>
      </c>
      <c r="Q53" s="17">
        <v>0</v>
      </c>
      <c r="R53" s="17">
        <v>90</v>
      </c>
      <c r="S53" s="17">
        <f t="array" ref="S53:U53">_xll.hdm_k2xy_data(P53,Q53,R53,$G$3:$N$75)</f>
        <v>4616441.5279999999</v>
      </c>
      <c r="T53" s="17">
        <v>504076.17</v>
      </c>
      <c r="U53" s="17">
        <v>1.5625015669300213</v>
      </c>
      <c r="AC53">
        <f t="array" ref="AC53:AD53">_xll.map_xy2gps(S52,T52,"utm",$Y$4:$Z$8,$AA$4:$AB$8)</f>
        <v>45.048753226044788</v>
      </c>
      <c r="AD53">
        <v>41.699746587799972</v>
      </c>
    </row>
    <row r="54" spans="7:30" ht="22.5" customHeight="1" x14ac:dyDescent="0.15">
      <c r="G54" s="11">
        <v>23088.882000000001</v>
      </c>
      <c r="H54" s="11">
        <v>4616921.773</v>
      </c>
      <c r="I54" s="11">
        <v>521798.35700000002</v>
      </c>
      <c r="J54" s="12">
        <v>77.414839999999998</v>
      </c>
      <c r="K54" s="11">
        <v>155.76900000000001</v>
      </c>
      <c r="L54" s="11">
        <v>1300</v>
      </c>
      <c r="M54" s="11">
        <v>0</v>
      </c>
      <c r="N54" s="15">
        <v>-1</v>
      </c>
      <c r="P54" s="17">
        <v>2720</v>
      </c>
      <c r="Q54" s="17">
        <v>0</v>
      </c>
      <c r="R54" s="17">
        <v>90</v>
      </c>
      <c r="S54" s="17">
        <f t="array" ref="S54:U54">_xll.hdm_k2xy_data(P54,Q54,R54,$G$3:$N$75)</f>
        <v>4616441.5410000002</v>
      </c>
      <c r="T54" s="17">
        <v>504096.17</v>
      </c>
      <c r="U54" s="17">
        <v>1.5778861823146366</v>
      </c>
      <c r="AC54">
        <f t="array" ref="AC54:AD54">_xll.map_xy2gps(S53,T53,"utm",$Y$4:$Z$8,$AA$4:$AB$8)</f>
        <v>45.048993559944464</v>
      </c>
      <c r="AD54">
        <v>41.699749358896078</v>
      </c>
    </row>
    <row r="55" spans="7:30" ht="22.5" customHeight="1" x14ac:dyDescent="0.15">
      <c r="G55" s="11">
        <v>23244.655999999999</v>
      </c>
      <c r="H55" s="11">
        <v>4616961.0109999999</v>
      </c>
      <c r="I55" s="11">
        <v>521949.08299999998</v>
      </c>
      <c r="J55" s="12">
        <v>74.155090000000001</v>
      </c>
      <c r="K55" s="11">
        <v>155.76900000000001</v>
      </c>
      <c r="L55" s="11">
        <v>0</v>
      </c>
      <c r="M55" s="11">
        <v>1300</v>
      </c>
      <c r="N55" s="15">
        <v>1</v>
      </c>
      <c r="P55" s="17">
        <v>2740</v>
      </c>
      <c r="Q55" s="17">
        <v>0</v>
      </c>
      <c r="R55" s="17">
        <v>90</v>
      </c>
      <c r="S55" s="17">
        <f t="array" ref="S55:U55">_xll.hdm_k2xy_data(P55,Q55,R55,$G$3:$N$75)</f>
        <v>4616441.2450000001</v>
      </c>
      <c r="T55" s="17">
        <v>504116.16700000002</v>
      </c>
      <c r="U55" s="17">
        <v>1.5932707976992522</v>
      </c>
      <c r="AC55">
        <f t="array" ref="AC55:AD55">_xll.map_xy2gps(S54,T54,"utm",$Y$4:$Z$8,$AA$4:$AB$8)</f>
        <v>45.049233927817724</v>
      </c>
      <c r="AD55">
        <v>41.699749373290153</v>
      </c>
    </row>
    <row r="56" spans="7:30" ht="22.5" customHeight="1" x14ac:dyDescent="0.15">
      <c r="G56" s="11">
        <v>23400.424999999999</v>
      </c>
      <c r="H56" s="11">
        <v>4617000.2470000004</v>
      </c>
      <c r="I56" s="11">
        <v>522099.804</v>
      </c>
      <c r="J56" s="12">
        <v>77.414869999999993</v>
      </c>
      <c r="K56" s="11">
        <v>224.81899999999999</v>
      </c>
      <c r="L56" s="11">
        <v>1300</v>
      </c>
      <c r="M56" s="11">
        <v>1300</v>
      </c>
      <c r="N56" s="15">
        <v>1</v>
      </c>
      <c r="P56" s="17">
        <v>2760</v>
      </c>
      <c r="Q56" s="17">
        <v>0</v>
      </c>
      <c r="R56" s="17">
        <v>90</v>
      </c>
      <c r="S56" s="17">
        <f t="array" ref="S56:U56">_xll.hdm_k2xy_data(P56,Q56,R56,$G$3:$N$75)</f>
        <v>4616440.642</v>
      </c>
      <c r="T56" s="17">
        <v>504136.158</v>
      </c>
      <c r="U56" s="17">
        <v>1.6086554130838675</v>
      </c>
      <c r="AC56">
        <f t="array" ref="AC56:AD56">_xll.map_xy2gps(S55,T55,"utm",$Y$4:$Z$8,$AA$4:$AB$8)</f>
        <v>45.04947425750273</v>
      </c>
      <c r="AD56">
        <v>41.699746603991649</v>
      </c>
    </row>
    <row r="57" spans="7:30" ht="22.5" customHeight="1" x14ac:dyDescent="0.15">
      <c r="G57" s="11">
        <v>23625.243999999999</v>
      </c>
      <c r="H57" s="11">
        <v>4617028.9680000003</v>
      </c>
      <c r="I57" s="11">
        <v>522322.49900000001</v>
      </c>
      <c r="J57" s="12">
        <v>87.361969999999999</v>
      </c>
      <c r="K57" s="11">
        <v>155.76900000000001</v>
      </c>
      <c r="L57" s="11">
        <v>1300</v>
      </c>
      <c r="M57" s="11">
        <v>0</v>
      </c>
      <c r="N57" s="15">
        <v>1</v>
      </c>
      <c r="P57" s="17">
        <v>2780</v>
      </c>
      <c r="Q57" s="17">
        <v>0</v>
      </c>
      <c r="R57" s="17">
        <v>90</v>
      </c>
      <c r="S57" s="17">
        <f t="array" ref="S57:U57">_xll.hdm_k2xy_data(P57,Q57,R57,$G$3:$N$75)</f>
        <v>4616439.7309999997</v>
      </c>
      <c r="T57" s="17">
        <v>504156.13699999999</v>
      </c>
      <c r="U57" s="17">
        <v>1.6240400284684831</v>
      </c>
      <c r="AC57">
        <f t="array" ref="AC57:AD57">_xll.map_xy2gps(S56,T56,"utm",$Y$4:$Z$8,$AA$4:$AB$8)</f>
        <v>45.04971451292711</v>
      </c>
      <c r="AD57">
        <v>41.699741069030651</v>
      </c>
    </row>
    <row r="58" spans="7:30" ht="22.5" customHeight="1" x14ac:dyDescent="0.15">
      <c r="G58" s="11">
        <v>23781.016</v>
      </c>
      <c r="H58" s="11">
        <v>4617029.2570000002</v>
      </c>
      <c r="I58" s="11">
        <v>522478.245</v>
      </c>
      <c r="J58" s="12">
        <v>91.021709999999999</v>
      </c>
      <c r="K58" s="11">
        <v>166.667</v>
      </c>
      <c r="L58" s="11">
        <v>0</v>
      </c>
      <c r="M58" s="11">
        <v>1500</v>
      </c>
      <c r="N58" s="15">
        <v>-1</v>
      </c>
      <c r="P58" s="17">
        <v>2800</v>
      </c>
      <c r="Q58" s="17">
        <v>0</v>
      </c>
      <c r="R58" s="17">
        <v>90</v>
      </c>
      <c r="S58" s="17">
        <f t="array" ref="S58:U58">_xll.hdm_k2xy_data(P58,Q58,R58,$G$3:$N$75)</f>
        <v>4616438.5130000003</v>
      </c>
      <c r="T58" s="17">
        <v>504176.1</v>
      </c>
      <c r="U58" s="17">
        <v>1.6394246438530984</v>
      </c>
      <c r="AC58">
        <f t="array" ref="AC58:AD58">_xll.map_xy2gps(S57,T57,"utm",$Y$4:$Z$8,$AA$4:$AB$8)</f>
        <v>45.049954621942724</v>
      </c>
      <c r="AD58">
        <v>41.699732759431889</v>
      </c>
    </row>
    <row r="59" spans="7:30" ht="22.5" customHeight="1" x14ac:dyDescent="0.15">
      <c r="G59" s="11">
        <v>23947.683000000001</v>
      </c>
      <c r="H59" s="11">
        <v>4617029.3229999999</v>
      </c>
      <c r="I59" s="11">
        <v>522644.89</v>
      </c>
      <c r="J59" s="12">
        <v>87.511769999999999</v>
      </c>
      <c r="K59" s="11">
        <v>171.845</v>
      </c>
      <c r="L59" s="11">
        <v>1500</v>
      </c>
      <c r="M59" s="11">
        <v>1500</v>
      </c>
      <c r="N59" s="15">
        <v>-1</v>
      </c>
      <c r="P59" s="17">
        <v>2820</v>
      </c>
      <c r="Q59" s="17">
        <v>0</v>
      </c>
      <c r="R59" s="17">
        <v>90</v>
      </c>
      <c r="S59" s="17">
        <f t="array" ref="S59:U59">_xll.hdm_k2xy_data(P59,Q59,R59,$G$3:$N$75)</f>
        <v>4616436.9879999999</v>
      </c>
      <c r="T59" s="17">
        <v>504196.04100000003</v>
      </c>
      <c r="U59" s="17">
        <v>1.6548092592377137</v>
      </c>
      <c r="AC59">
        <f t="array" ref="AC59:AD59">_xll.map_xy2gps(S58,T58,"utm",$Y$4:$Z$8,$AA$4:$AB$8)</f>
        <v>45.050194536452125</v>
      </c>
      <c r="AD59">
        <v>41.69972168422435</v>
      </c>
    </row>
    <row r="60" spans="7:30" ht="22.5" customHeight="1" x14ac:dyDescent="0.15">
      <c r="G60" s="11">
        <v>24119.527999999998</v>
      </c>
      <c r="H60" s="11">
        <v>4617045.5669999998</v>
      </c>
      <c r="I60" s="11">
        <v>522815.87</v>
      </c>
      <c r="J60" s="12">
        <v>81.172740000000005</v>
      </c>
      <c r="K60" s="11">
        <v>166.667</v>
      </c>
      <c r="L60" s="11">
        <v>1500</v>
      </c>
      <c r="M60" s="11">
        <v>0</v>
      </c>
      <c r="N60" s="15">
        <v>-1</v>
      </c>
      <c r="P60" s="17">
        <v>2840</v>
      </c>
      <c r="Q60" s="17">
        <v>0</v>
      </c>
      <c r="R60" s="17">
        <v>90</v>
      </c>
      <c r="S60" s="17">
        <f t="array" ref="S60:U60">_xll.hdm_k2xy_data(P60,Q60,R60,$G$3:$N$75)</f>
        <v>4616435.1569999997</v>
      </c>
      <c r="T60" s="17">
        <v>504215.95699999999</v>
      </c>
      <c r="U60" s="17">
        <v>1.670193874622329</v>
      </c>
      <c r="AC60">
        <f t="array" ref="AC60:AD60">_xll.map_xy2gps(S59,T59,"utm",$Y$4:$Z$8,$AA$4:$AB$8)</f>
        <v>45.050434184314284</v>
      </c>
      <c r="AD60">
        <v>41.69970784344094</v>
      </c>
    </row>
    <row r="61" spans="7:30" ht="22.5" customHeight="1" x14ac:dyDescent="0.15">
      <c r="G61" s="11">
        <v>24286.196</v>
      </c>
      <c r="H61" s="11">
        <v>4617076.8820000002</v>
      </c>
      <c r="I61" s="11">
        <v>522979.54700000002</v>
      </c>
      <c r="J61" s="12">
        <v>78.062839999999994</v>
      </c>
      <c r="K61" s="11">
        <v>133.334</v>
      </c>
      <c r="L61" s="11">
        <v>0</v>
      </c>
      <c r="M61" s="11">
        <v>1200</v>
      </c>
      <c r="N61" s="15">
        <v>1</v>
      </c>
      <c r="P61" s="17">
        <v>2860</v>
      </c>
      <c r="Q61" s="17">
        <v>0</v>
      </c>
      <c r="R61" s="17">
        <v>90</v>
      </c>
      <c r="S61" s="17">
        <f t="array" ref="S61:U61">_xll.hdm_k2xy_data(P61,Q61,R61,$G$3:$N$75)</f>
        <v>4616433.0190000003</v>
      </c>
      <c r="T61" s="17">
        <v>504235.842</v>
      </c>
      <c r="U61" s="17">
        <v>1.6855784900069444</v>
      </c>
      <c r="AC61">
        <f t="array" ref="AC61:AD61">_xll.map_xy2gps(S60,T60,"utm",$Y$4:$Z$8,$AA$4:$AB$8)</f>
        <v>45.050673529450521</v>
      </c>
      <c r="AD61">
        <v>41.699691246106347</v>
      </c>
    </row>
    <row r="62" spans="7:30" ht="22.5" customHeight="1" x14ac:dyDescent="0.15">
      <c r="G62" s="11">
        <v>24419.53</v>
      </c>
      <c r="H62" s="11">
        <v>4617101.9340000004</v>
      </c>
      <c r="I62" s="11">
        <v>523110.48800000001</v>
      </c>
      <c r="J62" s="12">
        <v>81.17277</v>
      </c>
      <c r="K62" s="11">
        <v>587.375</v>
      </c>
      <c r="L62" s="11">
        <v>1200</v>
      </c>
      <c r="M62" s="11">
        <v>1200</v>
      </c>
      <c r="N62" s="15">
        <v>1</v>
      </c>
      <c r="P62" s="17">
        <v>2880</v>
      </c>
      <c r="Q62" s="17">
        <v>0</v>
      </c>
      <c r="R62" s="17">
        <v>90</v>
      </c>
      <c r="S62" s="17">
        <f t="array" ref="S62:U62">_xll.hdm_k2xy_data(P62,Q62,R62,$G$3:$N$75)</f>
        <v>4616430.5760000004</v>
      </c>
      <c r="T62" s="17">
        <v>504255.69199999998</v>
      </c>
      <c r="U62" s="17">
        <v>1.7009631053915597</v>
      </c>
      <c r="AC62">
        <f t="array" ref="AC62:AD62">_xll.map_xy2gps(S61,T61,"utm",$Y$4:$Z$8,$AA$4:$AB$8)</f>
        <v>45.05091249971305</v>
      </c>
      <c r="AD62">
        <v>41.699671883247227</v>
      </c>
    </row>
    <row r="63" spans="7:30" ht="22.5" customHeight="1" x14ac:dyDescent="0.15">
      <c r="G63" s="11">
        <v>25006.904999999999</v>
      </c>
      <c r="H63" s="11">
        <v>4617048.0810000002</v>
      </c>
      <c r="I63" s="11">
        <v>523689.51699999999</v>
      </c>
      <c r="J63" s="12">
        <v>109.20099999999999</v>
      </c>
      <c r="K63" s="11">
        <v>133.334</v>
      </c>
      <c r="L63" s="11">
        <v>1200</v>
      </c>
      <c r="M63" s="11">
        <v>0</v>
      </c>
      <c r="N63" s="15">
        <v>1</v>
      </c>
      <c r="P63" s="17">
        <v>2900</v>
      </c>
      <c r="Q63" s="17">
        <v>0</v>
      </c>
      <c r="R63" s="17">
        <v>90</v>
      </c>
      <c r="S63" s="17">
        <f t="array" ref="S63:U63">_xll.hdm_k2xy_data(P63,Q63,R63,$G$3:$N$75)</f>
        <v>4616427.8269999996</v>
      </c>
      <c r="T63" s="17">
        <v>504275.50199999998</v>
      </c>
      <c r="U63" s="17">
        <v>1.7163477207761753</v>
      </c>
      <c r="AC63">
        <f t="array" ref="AC63:AD63">_xll.map_xy2gps(S62,T62,"utm",$Y$4:$Z$8,$AA$4:$AB$8)</f>
        <v>45.051151047012304</v>
      </c>
      <c r="AD63">
        <v>41.699649772901594</v>
      </c>
    </row>
    <row r="64" spans="7:30" ht="22.5" customHeight="1" x14ac:dyDescent="0.15">
      <c r="G64" s="11">
        <v>25140.241000000002</v>
      </c>
      <c r="H64" s="11">
        <v>4616999.3109999998</v>
      </c>
      <c r="I64" s="11">
        <v>523813.59399999998</v>
      </c>
      <c r="J64" s="12">
        <v>112.31091000000001</v>
      </c>
      <c r="K64" s="11">
        <v>115.6</v>
      </c>
      <c r="L64" s="11">
        <v>0</v>
      </c>
      <c r="M64" s="11">
        <v>1000</v>
      </c>
      <c r="N64" s="15">
        <v>-1</v>
      </c>
      <c r="P64" s="17">
        <v>2920</v>
      </c>
      <c r="Q64" s="17">
        <v>0</v>
      </c>
      <c r="R64" s="17">
        <v>90</v>
      </c>
      <c r="S64" s="17">
        <f t="array" ref="S64:U64">_xll.hdm_k2xy_data(P64,Q64,R64,$G$3:$N$75)</f>
        <v>4616424.7740000002</v>
      </c>
      <c r="T64" s="17">
        <v>504295.26799999998</v>
      </c>
      <c r="U64" s="17">
        <v>1.7317323361607906</v>
      </c>
      <c r="AC64">
        <f t="array" ref="AC64:AD64">_xll.map_xy2gps(S63,T63,"utm",$Y$4:$Z$8,$AA$4:$AB$8)</f>
        <v>45.051389111219251</v>
      </c>
      <c r="AD64">
        <v>41.699624906091813</v>
      </c>
    </row>
    <row r="65" spans="7:30" ht="22.5" customHeight="1" x14ac:dyDescent="0.15">
      <c r="G65" s="11">
        <v>25255.841</v>
      </c>
      <c r="H65" s="11">
        <v>4616957.108</v>
      </c>
      <c r="I65" s="11">
        <v>523921.19699999999</v>
      </c>
      <c r="J65" s="12">
        <v>109.12269000000001</v>
      </c>
      <c r="K65" s="11">
        <v>495.37799999999999</v>
      </c>
      <c r="L65" s="11">
        <v>1000</v>
      </c>
      <c r="M65" s="11">
        <v>1000</v>
      </c>
      <c r="N65" s="15">
        <v>-1</v>
      </c>
      <c r="P65" s="17">
        <v>2940</v>
      </c>
      <c r="Q65" s="17">
        <v>0</v>
      </c>
      <c r="R65" s="17">
        <v>90</v>
      </c>
      <c r="S65" s="17">
        <f t="array" ref="S65:U65">_xll.hdm_k2xy_data(P65,Q65,R65,$G$3:$N$75)</f>
        <v>4616421.4179999996</v>
      </c>
      <c r="T65" s="17">
        <v>504314.984</v>
      </c>
      <c r="U65" s="17">
        <v>1.7471169515454061</v>
      </c>
      <c r="AC65">
        <f t="array" ref="AC65:AD65">_xll.map_xy2gps(S64,T64,"utm",$Y$4:$Z$8,$AA$4:$AB$8)</f>
        <v>45.051626644244926</v>
      </c>
      <c r="AD65">
        <v>41.699597300856716</v>
      </c>
    </row>
    <row r="66" spans="7:30" ht="22.5" customHeight="1" x14ac:dyDescent="0.15">
      <c r="G66" s="11">
        <v>25751.219000000001</v>
      </c>
      <c r="H66" s="11">
        <v>4616914.2379999999</v>
      </c>
      <c r="I66" s="11">
        <v>524409.647</v>
      </c>
      <c r="J66" s="12">
        <v>80.492789999999999</v>
      </c>
      <c r="K66" s="11">
        <v>115.6</v>
      </c>
      <c r="L66" s="11">
        <v>1000</v>
      </c>
      <c r="M66" s="11">
        <v>0</v>
      </c>
      <c r="N66" s="15">
        <v>-1</v>
      </c>
      <c r="P66" s="17">
        <v>2960</v>
      </c>
      <c r="Q66" s="17">
        <v>0</v>
      </c>
      <c r="R66" s="17">
        <v>90</v>
      </c>
      <c r="S66" s="17">
        <f t="array" ref="S66:U66">_xll.hdm_k2xy_data(P66,Q66,R66,$G$3:$N$75)</f>
        <v>4616417.7580000004</v>
      </c>
      <c r="T66" s="17">
        <v>504334.64600000001</v>
      </c>
      <c r="U66" s="17">
        <v>1.7625015669300215</v>
      </c>
      <c r="AC66">
        <f t="array" ref="AC66:AD66">_xll.map_xy2gps(S65,T65,"utm",$Y$4:$Z$8,$AA$4:$AB$8)</f>
        <v>45.051863573956894</v>
      </c>
      <c r="AD66">
        <v>41.699566966239232</v>
      </c>
    </row>
    <row r="67" spans="7:30" ht="22.5" customHeight="1" x14ac:dyDescent="0.15">
      <c r="G67" s="11">
        <v>25866.821</v>
      </c>
      <c r="H67" s="11">
        <v>4616937.051</v>
      </c>
      <c r="I67" s="11">
        <v>524522.95799999998</v>
      </c>
      <c r="J67" s="12">
        <v>77.304590000000005</v>
      </c>
      <c r="K67" s="11">
        <v>130.381</v>
      </c>
      <c r="L67" s="11">
        <v>0</v>
      </c>
      <c r="M67" s="11">
        <v>1050</v>
      </c>
      <c r="N67" s="15">
        <v>1</v>
      </c>
      <c r="P67" s="17">
        <v>2980</v>
      </c>
      <c r="Q67" s="17">
        <v>0</v>
      </c>
      <c r="R67" s="17">
        <v>90</v>
      </c>
      <c r="S67" s="17">
        <f t="array" ref="S67:U67">_xll.hdm_k2xy_data(P67,Q67,R67,$G$3:$N$75)</f>
        <v>4616413.7970000003</v>
      </c>
      <c r="T67" s="17">
        <v>504354.25</v>
      </c>
      <c r="U67" s="17">
        <v>1.7778861823146368</v>
      </c>
      <c r="AC67">
        <f t="array" ref="AC67:AD67">_xll.map_xy2gps(S66,T66,"utm",$Y$4:$Z$8,$AA$4:$AB$8)</f>
        <v>45.052099852245284</v>
      </c>
      <c r="AD67">
        <v>41.69953389325773</v>
      </c>
    </row>
    <row r="68" spans="7:30" ht="22.5" customHeight="1" x14ac:dyDescent="0.15">
      <c r="G68" s="11">
        <v>25997.202000000001</v>
      </c>
      <c r="H68" s="11">
        <v>4616962.5970000001</v>
      </c>
      <c r="I68" s="11">
        <v>524650.78899999999</v>
      </c>
      <c r="J68" s="12">
        <v>81.041219999999996</v>
      </c>
      <c r="K68" s="11">
        <v>257.02999999999997</v>
      </c>
      <c r="L68" s="11">
        <v>1050</v>
      </c>
      <c r="M68" s="11">
        <v>1050</v>
      </c>
      <c r="N68" s="15">
        <v>1</v>
      </c>
      <c r="P68" s="17">
        <v>3000</v>
      </c>
      <c r="Q68" s="17">
        <v>0</v>
      </c>
      <c r="R68" s="17">
        <v>90</v>
      </c>
      <c r="S68" s="17">
        <f t="array" ref="S68:U68">_xll.hdm_k2xy_data(P68,Q68,R68,$G$3:$N$75)</f>
        <v>4616409.534</v>
      </c>
      <c r="T68" s="17">
        <v>504373.79</v>
      </c>
      <c r="U68" s="17">
        <v>1.7932707976992521</v>
      </c>
      <c r="AC68">
        <f t="array" ref="AC68:AD68">_xll.map_xy2gps(S67,T67,"utm",$Y$4:$Z$8,$AA$4:$AB$8)</f>
        <v>45.052335431029583</v>
      </c>
      <c r="AD68">
        <v>41.699498108959496</v>
      </c>
    </row>
    <row r="69" spans="7:30" ht="22.5" customHeight="1" x14ac:dyDescent="0.15">
      <c r="G69" s="11">
        <v>26254.232</v>
      </c>
      <c r="H69" s="11">
        <v>4616971.1749999998</v>
      </c>
      <c r="I69" s="11">
        <v>524907.03500000003</v>
      </c>
      <c r="J69" s="12">
        <v>95.054400000000001</v>
      </c>
      <c r="K69" s="11">
        <v>130.381</v>
      </c>
      <c r="L69" s="11">
        <v>1050</v>
      </c>
      <c r="M69" s="11">
        <v>0</v>
      </c>
      <c r="N69" s="15">
        <v>1</v>
      </c>
      <c r="P69" s="17">
        <v>3020</v>
      </c>
      <c r="Q69" s="17">
        <v>0</v>
      </c>
      <c r="R69" s="17">
        <v>90</v>
      </c>
      <c r="S69" s="17">
        <f t="array" ref="S69:U69">_xll.hdm_k2xy_data(P69,Q69,R69,$G$3:$N$75)</f>
        <v>4616404.9709999999</v>
      </c>
      <c r="T69" s="17">
        <v>504393.26199999999</v>
      </c>
      <c r="U69" s="17">
        <v>1.8086554130838675</v>
      </c>
      <c r="AC69">
        <f t="array" ref="AC69:AD69">_xll.map_xy2gps(S68,T68,"utm",$Y$4:$Z$8,$AA$4:$AB$8)</f>
        <v>45.052570238163931</v>
      </c>
      <c r="AD69">
        <v>41.699459604374624</v>
      </c>
    </row>
    <row r="70" spans="7:30" ht="22.5" customHeight="1" x14ac:dyDescent="0.15">
      <c r="G70" s="11">
        <v>26384.613000000001</v>
      </c>
      <c r="H70" s="11">
        <v>4616954.2340000002</v>
      </c>
      <c r="I70" s="11">
        <v>525036.28899999999</v>
      </c>
      <c r="J70" s="12">
        <v>98.391000000000005</v>
      </c>
      <c r="K70" s="11">
        <v>201.667</v>
      </c>
      <c r="L70" s="11">
        <v>0</v>
      </c>
      <c r="M70" s="11">
        <v>1500</v>
      </c>
      <c r="N70" s="15">
        <v>-1</v>
      </c>
      <c r="P70" s="17">
        <v>3040</v>
      </c>
      <c r="Q70" s="17">
        <v>0</v>
      </c>
      <c r="R70" s="17">
        <v>90</v>
      </c>
      <c r="S70" s="17">
        <f t="array" ref="S70:U70">_xll.hdm_k2xy_data(P70,Q70,R70,$G$3:$N$75)</f>
        <v>4616400.1090000002</v>
      </c>
      <c r="T70" s="17">
        <v>504412.66200000001</v>
      </c>
      <c r="U70" s="17">
        <v>1.8240400284684828</v>
      </c>
      <c r="AC70">
        <f t="array" ref="AC70:AD70">_xll.map_xy2gps(S69,T69,"utm",$Y$4:$Z$8,$AA$4:$AB$8)</f>
        <v>45.052804225561466</v>
      </c>
      <c r="AD70">
        <v>41.6994183975442</v>
      </c>
    </row>
    <row r="71" spans="7:30" ht="22.5" customHeight="1" x14ac:dyDescent="0.15">
      <c r="G71" s="11">
        <v>26586.28</v>
      </c>
      <c r="H71" s="11">
        <v>4616928.3739999998</v>
      </c>
      <c r="I71" s="11">
        <v>525236.25</v>
      </c>
      <c r="J71" s="12">
        <v>94.480419999999995</v>
      </c>
      <c r="K71" s="11">
        <v>701.85</v>
      </c>
      <c r="L71" s="11">
        <v>1500</v>
      </c>
      <c r="M71" s="11">
        <v>1500</v>
      </c>
      <c r="N71" s="15">
        <v>-1</v>
      </c>
      <c r="P71" s="17">
        <v>3060</v>
      </c>
      <c r="Q71" s="17">
        <v>0</v>
      </c>
      <c r="R71" s="17">
        <v>90</v>
      </c>
      <c r="S71" s="17">
        <f t="array" ref="S71:U71">_xll.hdm_k2xy_data(P71,Q71,R71,$G$3:$N$75)</f>
        <v>4616394.95</v>
      </c>
      <c r="T71" s="17">
        <v>504431.98499999999</v>
      </c>
      <c r="U71" s="17">
        <v>1.8394246438530983</v>
      </c>
      <c r="AC71">
        <f t="array" ref="AC71:AD71">_xll.map_xy2gps(S70,T70,"utm",$Y$4:$Z$8,$AA$4:$AB$8)</f>
        <v>45.053037345128502</v>
      </c>
      <c r="AD71">
        <v>41.699374497502475</v>
      </c>
    </row>
    <row r="72" spans="7:30" ht="22.5" customHeight="1" x14ac:dyDescent="0.15">
      <c r="G72" s="11">
        <v>27288.131000000001</v>
      </c>
      <c r="H72" s="11">
        <v>4617032.409</v>
      </c>
      <c r="I72" s="11">
        <v>525923.89</v>
      </c>
      <c r="J72" s="12">
        <v>67.593289999999996</v>
      </c>
      <c r="K72" s="11">
        <v>201.667</v>
      </c>
      <c r="L72" s="11">
        <v>1500</v>
      </c>
      <c r="M72" s="11">
        <v>0</v>
      </c>
      <c r="N72" s="15">
        <v>-1</v>
      </c>
      <c r="P72" s="17">
        <v>3080</v>
      </c>
      <c r="Q72" s="17">
        <v>0</v>
      </c>
      <c r="R72" s="17">
        <v>90</v>
      </c>
      <c r="S72" s="17">
        <f t="array" ref="S72:U72">_xll.hdm_k2xy_data(P72,Q72,R72,$G$3:$N$75)</f>
        <v>4616389.4939999999</v>
      </c>
      <c r="T72" s="17">
        <v>504451.22600000002</v>
      </c>
      <c r="U72" s="17">
        <v>1.8548092592377137</v>
      </c>
      <c r="AC72">
        <f t="array" ref="AC72:AD72">_xll.map_xy2gps(S71,T71,"utm",$Y$4:$Z$8,$AA$4:$AB$8)</f>
        <v>45.053269536760951</v>
      </c>
      <c r="AD72">
        <v>41.699327922296824</v>
      </c>
    </row>
    <row r="73" spans="7:30" ht="22.5" customHeight="1" x14ac:dyDescent="0.15">
      <c r="G73" s="11">
        <v>27489.800999999999</v>
      </c>
      <c r="H73" s="11">
        <v>4617116.2630000003</v>
      </c>
      <c r="I73" s="11">
        <v>526107.255</v>
      </c>
      <c r="J73" s="12">
        <v>64.082750000000004</v>
      </c>
      <c r="K73" s="11">
        <v>155.76900000000001</v>
      </c>
      <c r="L73" s="11">
        <v>0</v>
      </c>
      <c r="M73" s="11">
        <v>1300</v>
      </c>
      <c r="N73" s="15">
        <v>1</v>
      </c>
      <c r="P73" s="17">
        <v>3100</v>
      </c>
      <c r="Q73" s="17">
        <v>0</v>
      </c>
      <c r="R73" s="17">
        <v>90</v>
      </c>
      <c r="S73" s="17">
        <f t="array" ref="S73:U73">_xll.hdm_k2xy_data(P73,Q73,R73,$G$3:$N$75)</f>
        <v>4616383.7419999996</v>
      </c>
      <c r="T73" s="17">
        <v>504470.38099999999</v>
      </c>
      <c r="U73" s="17">
        <v>1.8701938746223292</v>
      </c>
      <c r="AC73">
        <f t="array" ref="AC73:AD73">_xll.map_xy2gps(S72,T72,"utm",$Y$4:$Z$8,$AA$4:$AB$8)</f>
        <v>45.053500740340468</v>
      </c>
      <c r="AD73">
        <v>41.699278671960776</v>
      </c>
    </row>
    <row r="74" spans="7:30" ht="22.5" customHeight="1" x14ac:dyDescent="0.15">
      <c r="G74" s="11">
        <v>27645.57</v>
      </c>
      <c r="H74" s="11">
        <v>4617181.38</v>
      </c>
      <c r="I74" s="11">
        <v>526248.73300000001</v>
      </c>
      <c r="J74" s="12">
        <v>67.342519999999993</v>
      </c>
      <c r="K74" s="11">
        <v>548.17700000000002</v>
      </c>
      <c r="L74" s="11">
        <v>1300</v>
      </c>
      <c r="M74" s="11">
        <v>1300</v>
      </c>
      <c r="N74" s="15">
        <v>1</v>
      </c>
      <c r="P74" s="17">
        <v>3120</v>
      </c>
      <c r="Q74" s="17">
        <v>0</v>
      </c>
      <c r="R74" s="17">
        <v>90</v>
      </c>
      <c r="S74" s="17">
        <f t="array" ref="S74:U74">_xll.hdm_k2xy_data(P74,Q74,R74,$G$3:$N$75)</f>
        <v>4616377.6960000005</v>
      </c>
      <c r="T74" s="17">
        <v>504489.44500000001</v>
      </c>
      <c r="U74" s="17">
        <v>1.8855784900069446</v>
      </c>
      <c r="AC74">
        <f t="array" ref="AC74:AD74">_xll.map_xy2gps(S73,T73,"utm",$Y$4:$Z$8,$AA$4:$AB$8)</f>
        <v>45.053730907774906</v>
      </c>
      <c r="AD74">
        <v>41.699226755529864</v>
      </c>
    </row>
    <row r="75" spans="7:30" ht="22.5" customHeight="1" x14ac:dyDescent="0.15">
      <c r="G75" s="11">
        <v>28193.746999999999</v>
      </c>
      <c r="H75" s="11">
        <v>4617279.1030000001</v>
      </c>
      <c r="I75" s="11">
        <v>526784.01100000006</v>
      </c>
      <c r="J75" s="12">
        <v>91.440179999999998</v>
      </c>
      <c r="K75" s="11">
        <v>155.76900000000001</v>
      </c>
      <c r="L75" s="11">
        <v>1300</v>
      </c>
      <c r="M75" s="11">
        <v>0</v>
      </c>
      <c r="N75" s="15">
        <v>1</v>
      </c>
      <c r="P75" s="17">
        <v>3140</v>
      </c>
      <c r="Q75" s="17">
        <v>0</v>
      </c>
      <c r="R75" s="17">
        <v>90</v>
      </c>
      <c r="S75" s="17">
        <f t="array" ref="S75:U75">_xll.hdm_k2xy_data(P75,Q75,R75,$G$3:$N$75)</f>
        <v>4616371.358</v>
      </c>
      <c r="T75" s="17">
        <v>504508.41399999999</v>
      </c>
      <c r="U75" s="17">
        <v>1.9009631053915599</v>
      </c>
      <c r="AC75">
        <f t="array" ref="AC75:AD75">_xll.map_xy2gps(S74,T74,"utm",$Y$4:$Z$8,$AA$4:$AB$8)</f>
        <v>45.053959978961927</v>
      </c>
      <c r="AD75">
        <v>41.699172191052725</v>
      </c>
    </row>
    <row r="76" spans="7:30" ht="22.5" customHeight="1" x14ac:dyDescent="0.15">
      <c r="G76" s="11" t="e">
        <v>#N/A</v>
      </c>
      <c r="H76" s="11" t="e">
        <v>#N/A</v>
      </c>
      <c r="I76" s="11" t="e">
        <v>#N/A</v>
      </c>
      <c r="J76" s="12" t="e">
        <v>#N/A</v>
      </c>
      <c r="K76" s="11" t="e">
        <v>#N/A</v>
      </c>
      <c r="L76" s="11" t="e">
        <v>#N/A</v>
      </c>
      <c r="M76" s="11" t="e">
        <v>#N/A</v>
      </c>
      <c r="N76" s="15" t="e">
        <v>#N/A</v>
      </c>
      <c r="P76" s="17">
        <v>3160</v>
      </c>
      <c r="Q76" s="17">
        <v>0</v>
      </c>
      <c r="R76" s="17">
        <v>90</v>
      </c>
      <c r="S76" s="17">
        <f t="array" ref="S76:U76">_xll.hdm_k2xy_data(P76,Q76,R76,$G$3:$N$75)</f>
        <v>4616364.7290000003</v>
      </c>
      <c r="T76" s="17">
        <v>504527.283</v>
      </c>
      <c r="U76" s="17">
        <v>1.9163477207761752</v>
      </c>
      <c r="AC76">
        <f t="array" ref="AC76:AD76">_xll.map_xy2gps(S75,T75,"utm",$Y$4:$Z$8,$AA$4:$AB$8)</f>
        <v>45.054187905818154</v>
      </c>
      <c r="AD76">
        <v>41.699114996572789</v>
      </c>
    </row>
    <row r="77" spans="7:30" ht="22.5" customHeight="1" x14ac:dyDescent="0.15">
      <c r="G77" s="11" t="e">
        <v>#N/A</v>
      </c>
      <c r="H77" s="11" t="e">
        <v>#N/A</v>
      </c>
      <c r="I77" s="11" t="e">
        <v>#N/A</v>
      </c>
      <c r="J77" s="12" t="e">
        <v>#N/A</v>
      </c>
      <c r="K77" s="11" t="e">
        <v>#N/A</v>
      </c>
      <c r="L77" s="11" t="e">
        <v>#N/A</v>
      </c>
      <c r="M77" s="11" t="e">
        <v>#N/A</v>
      </c>
      <c r="N77" s="15" t="e">
        <v>#N/A</v>
      </c>
      <c r="P77" s="17">
        <v>3180</v>
      </c>
      <c r="Q77" s="17">
        <v>0</v>
      </c>
      <c r="R77" s="17">
        <v>90</v>
      </c>
      <c r="S77" s="17">
        <f t="array" ref="S77:U77">_xll.hdm_k2xy_data(P77,Q77,R77,$G$3:$N$75)</f>
        <v>4616357.8099999996</v>
      </c>
      <c r="T77" s="17">
        <v>504546.04800000001</v>
      </c>
      <c r="U77" s="17">
        <v>1.9317323361607905</v>
      </c>
      <c r="AC77">
        <f t="array" ref="AC77:AD77">_xll.map_xy2gps(S76,T76,"utm",$Y$4:$Z$8,$AA$4:$AB$8)</f>
        <v>45.054414628235079</v>
      </c>
      <c r="AD77">
        <v>41.699055181132422</v>
      </c>
    </row>
    <row r="78" spans="7:30" ht="22.5" customHeight="1" x14ac:dyDescent="0.15">
      <c r="G78" s="11" t="e">
        <v>#N/A</v>
      </c>
      <c r="H78" s="11" t="e">
        <v>#N/A</v>
      </c>
      <c r="I78" s="11" t="e">
        <v>#N/A</v>
      </c>
      <c r="J78" s="12" t="e">
        <v>#N/A</v>
      </c>
      <c r="K78" s="11" t="e">
        <v>#N/A</v>
      </c>
      <c r="L78" s="11" t="e">
        <v>#N/A</v>
      </c>
      <c r="M78" s="11" t="e">
        <v>#N/A</v>
      </c>
      <c r="N78" s="15" t="e">
        <v>#N/A</v>
      </c>
      <c r="P78" s="17">
        <v>3200</v>
      </c>
      <c r="Q78" s="17">
        <v>0</v>
      </c>
      <c r="R78" s="17">
        <v>90</v>
      </c>
      <c r="S78" s="17">
        <f t="array" ref="S78:U78">_xll.hdm_k2xy_data(P78,Q78,R78,$G$3:$N$75)</f>
        <v>4616350.6059999997</v>
      </c>
      <c r="T78" s="17">
        <v>504564.70500000002</v>
      </c>
      <c r="U78" s="17">
        <v>1.9466458819924501</v>
      </c>
      <c r="AC78">
        <f t="array" ref="AC78:AD78">_xll.map_xy2gps(S77,T77,"utm",$Y$4:$Z$8,$AA$4:$AB$8)</f>
        <v>45.054640098123102</v>
      </c>
      <c r="AD78">
        <v>41.698992753768614</v>
      </c>
    </row>
    <row r="79" spans="7:30" ht="22.5" customHeight="1" x14ac:dyDescent="0.15">
      <c r="G79" s="11" t="e">
        <v>#N/A</v>
      </c>
      <c r="H79" s="11" t="e">
        <v>#N/A</v>
      </c>
      <c r="I79" s="11" t="e">
        <v>#N/A</v>
      </c>
      <c r="J79" s="12" t="e">
        <v>#N/A</v>
      </c>
      <c r="K79" s="11" t="e">
        <v>#N/A</v>
      </c>
      <c r="L79" s="11" t="e">
        <v>#N/A</v>
      </c>
      <c r="M79" s="11" t="e">
        <v>#N/A</v>
      </c>
      <c r="N79" s="15" t="e">
        <v>#N/A</v>
      </c>
      <c r="P79" s="17">
        <v>3220</v>
      </c>
      <c r="Q79" s="17">
        <v>0</v>
      </c>
      <c r="R79" s="17">
        <v>90</v>
      </c>
      <c r="S79" s="17">
        <f t="array" ref="S79:U79">_xll.hdm_k2xy_data(P79,Q79,R79,$G$3:$N$75)</f>
        <v>4616343.1409999998</v>
      </c>
      <c r="T79" s="17">
        <v>504583.25900000002</v>
      </c>
      <c r="U79" s="17">
        <v>1.9596798084044895</v>
      </c>
      <c r="AC79">
        <f t="array" ref="AC79:AD79">_xll.map_xy2gps(S78,T78,"utm",$Y$4:$Z$8,$AA$4:$AB$8)</f>
        <v>45.05486426742381</v>
      </c>
      <c r="AD79">
        <v>41.698927759547331</v>
      </c>
    </row>
    <row r="80" spans="7:30" ht="22.5" customHeight="1" x14ac:dyDescent="0.15">
      <c r="G80" s="11" t="e">
        <v>#N/A</v>
      </c>
      <c r="H80" s="11" t="e">
        <v>#N/A</v>
      </c>
      <c r="I80" s="11" t="e">
        <v>#N/A</v>
      </c>
      <c r="J80" s="12" t="e">
        <v>#N/A</v>
      </c>
      <c r="K80" s="11" t="e">
        <v>#N/A</v>
      </c>
      <c r="L80" s="11" t="e">
        <v>#N/A</v>
      </c>
      <c r="M80" s="11" t="e">
        <v>#N/A</v>
      </c>
      <c r="N80" s="15" t="e">
        <v>#N/A</v>
      </c>
      <c r="P80" s="17">
        <v>3240</v>
      </c>
      <c r="Q80" s="17">
        <v>0</v>
      </c>
      <c r="R80" s="17">
        <v>90</v>
      </c>
      <c r="S80" s="17">
        <f t="array" ref="S80:U80">_xll.hdm_k2xy_data(P80,Q80,R80,$G$3:$N$75)</f>
        <v>4616335.4529999997</v>
      </c>
      <c r="T80" s="17">
        <v>504601.72200000001</v>
      </c>
      <c r="U80" s="17">
        <v>1.9707384489272168</v>
      </c>
      <c r="AC80">
        <f t="array" ref="AC80:AD80">_xll.map_xy2gps(S79,T79,"utm",$Y$4:$Z$8,$AA$4:$AB$8)</f>
        <v>45.055087196389977</v>
      </c>
      <c r="AD80">
        <v>41.698860414618636</v>
      </c>
    </row>
    <row r="81" spans="7:30" ht="22.5" customHeight="1" x14ac:dyDescent="0.15">
      <c r="G81" s="11" t="e">
        <v>#N/A</v>
      </c>
      <c r="H81" s="11" t="e">
        <v>#N/A</v>
      </c>
      <c r="I81" s="11" t="e">
        <v>#N/A</v>
      </c>
      <c r="J81" s="12" t="e">
        <v>#N/A</v>
      </c>
      <c r="K81" s="11" t="e">
        <v>#N/A</v>
      </c>
      <c r="L81" s="11" t="e">
        <v>#N/A</v>
      </c>
      <c r="M81" s="11" t="e">
        <v>#N/A</v>
      </c>
      <c r="N81" s="15" t="e">
        <v>#N/A</v>
      </c>
      <c r="P81" s="17">
        <v>3260</v>
      </c>
      <c r="Q81" s="17">
        <v>0</v>
      </c>
      <c r="R81" s="17">
        <v>90</v>
      </c>
      <c r="S81" s="17">
        <f t="array" ref="S81:U81">_xll.hdm_k2xy_data(P81,Q81,R81,$G$3:$N$75)</f>
        <v>4616327.5789999999</v>
      </c>
      <c r="T81" s="17">
        <v>504620.10700000002</v>
      </c>
      <c r="U81" s="17">
        <v>1.9798218035606319</v>
      </c>
      <c r="AC81">
        <f t="array" ref="AC81:AD81">_xll.map_xy2gps(S80,T80,"utm",$Y$4:$Z$8,$AA$4:$AB$8)</f>
        <v>45.055309029512863</v>
      </c>
      <c r="AD81">
        <v>41.698791061191507</v>
      </c>
    </row>
    <row r="82" spans="7:30" ht="22.5" customHeight="1" x14ac:dyDescent="0.15">
      <c r="G82" s="11" t="e">
        <v>#N/A</v>
      </c>
      <c r="H82" s="11" t="e">
        <v>#N/A</v>
      </c>
      <c r="I82" s="11" t="e">
        <v>#N/A</v>
      </c>
      <c r="J82" s="12" t="e">
        <v>#N/A</v>
      </c>
      <c r="K82" s="11" t="e">
        <v>#N/A</v>
      </c>
      <c r="L82" s="11" t="e">
        <v>#N/A</v>
      </c>
      <c r="M82" s="11" t="e">
        <v>#N/A</v>
      </c>
      <c r="N82" s="15" t="e">
        <v>#N/A</v>
      </c>
      <c r="P82" s="17">
        <v>3280</v>
      </c>
      <c r="Q82" s="17">
        <v>0</v>
      </c>
      <c r="R82" s="17">
        <v>90</v>
      </c>
      <c r="S82" s="17">
        <f t="array" ref="S82:U82">_xll.hdm_k2xy_data(P82,Q82,R82,$G$3:$N$75)</f>
        <v>4616319.5559999999</v>
      </c>
      <c r="T82" s="17">
        <v>504638.42700000003</v>
      </c>
      <c r="U82" s="17">
        <v>1.9869298723047348</v>
      </c>
      <c r="AC82">
        <f t="array" ref="AC82:AD82">_xll.map_xy2gps(S81,T81,"utm",$Y$4:$Z$8,$AA$4:$AB$8)</f>
        <v>45.055529923298465</v>
      </c>
      <c r="AD82">
        <v>41.698720032460827</v>
      </c>
    </row>
    <row r="83" spans="7:30" ht="22.5" customHeight="1" x14ac:dyDescent="0.15">
      <c r="G83" s="11" t="e">
        <v>#N/A</v>
      </c>
      <c r="H83" s="11" t="e">
        <v>#N/A</v>
      </c>
      <c r="I83" s="11" t="e">
        <v>#N/A</v>
      </c>
      <c r="J83" s="12" t="e">
        <v>#N/A</v>
      </c>
      <c r="K83" s="11" t="e">
        <v>#N/A</v>
      </c>
      <c r="L83" s="11" t="e">
        <v>#N/A</v>
      </c>
      <c r="M83" s="11" t="e">
        <v>#N/A</v>
      </c>
      <c r="N83" s="15" t="e">
        <v>#N/A</v>
      </c>
      <c r="P83" s="17">
        <v>3300</v>
      </c>
      <c r="Q83" s="17">
        <v>0</v>
      </c>
      <c r="R83" s="17">
        <v>90</v>
      </c>
      <c r="S83" s="17">
        <f t="array" ref="S83:U83">_xll.hdm_k2xy_data(P83,Q83,R83,$G$3:$N$75)</f>
        <v>4616311.4220000003</v>
      </c>
      <c r="T83" s="17">
        <v>504656.69799999997</v>
      </c>
      <c r="U83" s="17">
        <v>1.9920626551595255</v>
      </c>
      <c r="AC83">
        <f t="array" ref="AC83:AD83">_xll.map_xy2gps(S82,T82,"utm",$Y$4:$Z$8,$AA$4:$AB$8)</f>
        <v>45.05575003425686</v>
      </c>
      <c r="AD83">
        <v>41.698647661620321</v>
      </c>
    </row>
    <row r="84" spans="7:30" ht="22.5" customHeight="1" x14ac:dyDescent="0.15">
      <c r="G84" s="11" t="e">
        <v>#N/A</v>
      </c>
      <c r="H84" s="11" t="e">
        <v>#N/A</v>
      </c>
      <c r="I84" s="11" t="e">
        <v>#N/A</v>
      </c>
      <c r="J84" s="12" t="e">
        <v>#N/A</v>
      </c>
      <c r="K84" s="11" t="e">
        <v>#N/A</v>
      </c>
      <c r="L84" s="11" t="e">
        <v>#N/A</v>
      </c>
      <c r="M84" s="11" t="e">
        <v>#N/A</v>
      </c>
      <c r="N84" s="15" t="e">
        <v>#N/A</v>
      </c>
      <c r="P84" s="17">
        <v>3320</v>
      </c>
      <c r="Q84" s="17">
        <v>0</v>
      </c>
      <c r="R84" s="17">
        <v>90</v>
      </c>
      <c r="S84" s="17">
        <f t="array" ref="S84:U84">_xll.hdm_k2xy_data(P84,Q84,R84,$G$3:$N$75)</f>
        <v>4616303.2120000003</v>
      </c>
      <c r="T84" s="17">
        <v>504674.935</v>
      </c>
      <c r="U84" s="17">
        <v>1.9952201521250041</v>
      </c>
      <c r="AC84">
        <f t="array" ref="AC84:AD84">_xll.map_xy2gps(S83,T83,"utm",$Y$4:$Z$8,$AA$4:$AB$8)</f>
        <v>45.055969554964356</v>
      </c>
      <c r="AD84">
        <v>41.698574290852065</v>
      </c>
    </row>
    <row r="85" spans="7:30" ht="22.5" customHeight="1" x14ac:dyDescent="0.15">
      <c r="G85" s="11" t="e">
        <v>#N/A</v>
      </c>
      <c r="H85" s="11" t="e">
        <v>#N/A</v>
      </c>
      <c r="I85" s="11" t="e">
        <v>#N/A</v>
      </c>
      <c r="J85" s="12" t="e">
        <v>#N/A</v>
      </c>
      <c r="K85" s="11" t="e">
        <v>#N/A</v>
      </c>
      <c r="L85" s="11" t="e">
        <v>#N/A</v>
      </c>
      <c r="M85" s="11" t="e">
        <v>#N/A</v>
      </c>
      <c r="N85" s="15" t="e">
        <v>#N/A</v>
      </c>
      <c r="P85" s="17">
        <v>3340</v>
      </c>
      <c r="Q85" s="17">
        <v>0</v>
      </c>
      <c r="R85" s="17">
        <v>90</v>
      </c>
      <c r="S85" s="17">
        <f t="array" ref="S85:U85">_xll.hdm_k2xy_data(P85,Q85,R85,$G$3:$N$75)</f>
        <v>4616294.9620000003</v>
      </c>
      <c r="T85" s="17">
        <v>504693.15500000003</v>
      </c>
      <c r="U85" s="17">
        <v>1.9964023632011705</v>
      </c>
      <c r="AC85">
        <f t="array" ref="AC85:AD85">_xll.map_xy2gps(S84,T84,"utm",$Y$4:$Z$8,$AA$4:$AB$8)</f>
        <v>45.056188665959453</v>
      </c>
      <c r="AD85">
        <v>41.698500235321077</v>
      </c>
    </row>
    <row r="86" spans="7:30" ht="22.5" customHeight="1" x14ac:dyDescent="0.15">
      <c r="G86" s="11" t="e">
        <v>#N/A</v>
      </c>
      <c r="H86" s="11" t="e">
        <v>#N/A</v>
      </c>
      <c r="I86" s="11" t="e">
        <v>#N/A</v>
      </c>
      <c r="J86" s="12" t="e">
        <v>#N/A</v>
      </c>
      <c r="K86" s="11" t="e">
        <v>#N/A</v>
      </c>
      <c r="L86" s="11" t="e">
        <v>#N/A</v>
      </c>
      <c r="M86" s="11" t="e">
        <v>#N/A</v>
      </c>
      <c r="N86" s="15" t="e">
        <v>#N/A</v>
      </c>
      <c r="P86" s="17">
        <v>3360</v>
      </c>
      <c r="Q86" s="17">
        <v>0</v>
      </c>
      <c r="R86" s="17">
        <v>90</v>
      </c>
      <c r="S86" s="17">
        <f t="array" ref="S86:U86">_xll.hdm_k2xy_data(P86,Q86,R86,$G$3:$N$75)</f>
        <v>4616286.7050000001</v>
      </c>
      <c r="T86" s="17">
        <v>504711.37</v>
      </c>
      <c r="U86" s="17">
        <v>1.9964103789315093</v>
      </c>
      <c r="AC86">
        <f t="array" ref="AC86:AD86">_xll.map_xy2gps(S85,T85,"utm",$Y$4:$Z$8,$AA$4:$AB$8)</f>
        <v>45.056407571828274</v>
      </c>
      <c r="AD86">
        <v>41.698425819186447</v>
      </c>
    </row>
    <row r="87" spans="7:30" ht="22.5" customHeight="1" x14ac:dyDescent="0.15">
      <c r="G87" s="11" t="e">
        <v>#N/A</v>
      </c>
      <c r="H87" s="11" t="e">
        <v>#N/A</v>
      </c>
      <c r="I87" s="11" t="e">
        <v>#N/A</v>
      </c>
      <c r="J87" s="12" t="e">
        <v>#N/A</v>
      </c>
      <c r="K87" s="11" t="e">
        <v>#N/A</v>
      </c>
      <c r="L87" s="11" t="e">
        <v>#N/A</v>
      </c>
      <c r="M87" s="11" t="e">
        <v>#N/A</v>
      </c>
      <c r="N87" s="15" t="e">
        <v>#N/A</v>
      </c>
      <c r="P87" s="17">
        <v>3380</v>
      </c>
      <c r="Q87" s="17">
        <v>0</v>
      </c>
      <c r="R87" s="17">
        <v>90</v>
      </c>
      <c r="S87" s="17">
        <f t="array" ref="S87:U87">_xll.hdm_k2xy_data(P87,Q87,R87,$G$3:$N$75)</f>
        <v>4616278.4469999997</v>
      </c>
      <c r="T87" s="17">
        <v>504729.58600000001</v>
      </c>
      <c r="U87" s="17">
        <v>1.9964103789315093</v>
      </c>
      <c r="AC87">
        <f t="array" ref="AC87:AD87">_xll.map_xy2gps(S86,T86,"utm",$Y$4:$Z$8,$AA$4:$AB$8)</f>
        <v>45.05662641704609</v>
      </c>
      <c r="AD87">
        <v>41.698351339613836</v>
      </c>
    </row>
    <row r="88" spans="7:30" ht="22.5" customHeight="1" x14ac:dyDescent="0.15">
      <c r="G88" s="11" t="e">
        <v>#N/A</v>
      </c>
      <c r="H88" s="11" t="e">
        <v>#N/A</v>
      </c>
      <c r="I88" s="11" t="e">
        <v>#N/A</v>
      </c>
      <c r="J88" s="12" t="e">
        <v>#N/A</v>
      </c>
      <c r="K88" s="11" t="e">
        <v>#N/A</v>
      </c>
      <c r="L88" s="11" t="e">
        <v>#N/A</v>
      </c>
      <c r="M88" s="11" t="e">
        <v>#N/A</v>
      </c>
      <c r="N88" s="15" t="e">
        <v>#N/A</v>
      </c>
      <c r="P88" s="17">
        <v>3400</v>
      </c>
      <c r="Q88" s="17">
        <v>0</v>
      </c>
      <c r="R88" s="17">
        <v>90</v>
      </c>
      <c r="S88" s="17">
        <f t="array" ref="S88:U88">_xll.hdm_k2xy_data(P88,Q88,R88,$G$3:$N$75)</f>
        <v>4616270.1900000004</v>
      </c>
      <c r="T88" s="17">
        <v>504747.80200000003</v>
      </c>
      <c r="U88" s="17">
        <v>1.9964103789315093</v>
      </c>
      <c r="AC88">
        <f t="array" ref="AC88:AD88">_xll.map_xy2gps(S87,T87,"utm",$Y$4:$Z$8,$AA$4:$AB$8)</f>
        <v>45.056845273768722</v>
      </c>
      <c r="AD88">
        <v>41.698276850610739</v>
      </c>
    </row>
    <row r="89" spans="7:30" ht="22.5" customHeight="1" x14ac:dyDescent="0.15">
      <c r="G89" s="11" t="e">
        <v>#N/A</v>
      </c>
      <c r="H89" s="11" t="e">
        <v>#N/A</v>
      </c>
      <c r="I89" s="11" t="e">
        <v>#N/A</v>
      </c>
      <c r="J89" s="12" t="e">
        <v>#N/A</v>
      </c>
      <c r="K89" s="11" t="e">
        <v>#N/A</v>
      </c>
      <c r="L89" s="11" t="e">
        <v>#N/A</v>
      </c>
      <c r="M89" s="11" t="e">
        <v>#N/A</v>
      </c>
      <c r="N89" s="15" t="e">
        <v>#N/A</v>
      </c>
      <c r="P89" s="17">
        <v>3420</v>
      </c>
      <c r="Q89" s="17">
        <v>0</v>
      </c>
      <c r="R89" s="17">
        <v>90</v>
      </c>
      <c r="S89" s="17">
        <f t="array" ref="S89:U89">_xll.hdm_k2xy_data(P89,Q89,R89,$G$3:$N$75)</f>
        <v>4616261.932</v>
      </c>
      <c r="T89" s="17">
        <v>504766.01699999999</v>
      </c>
      <c r="U89" s="17">
        <v>1.9964103789315093</v>
      </c>
      <c r="AC89">
        <f t="array" ref="AC89:AD89">_xll.map_xy2gps(S88,T88,"utm",$Y$4:$Z$8,$AA$4:$AB$8)</f>
        <v>45.057064129993869</v>
      </c>
      <c r="AD89">
        <v>41.698202370197357</v>
      </c>
    </row>
    <row r="90" spans="7:30" ht="22.5" customHeight="1" x14ac:dyDescent="0.15">
      <c r="G90" s="11" t="e">
        <v>#N/A</v>
      </c>
      <c r="H90" s="11" t="e">
        <v>#N/A</v>
      </c>
      <c r="I90" s="11" t="e">
        <v>#N/A</v>
      </c>
      <c r="J90" s="12" t="e">
        <v>#N/A</v>
      </c>
      <c r="K90" s="11" t="e">
        <v>#N/A</v>
      </c>
      <c r="L90" s="11" t="e">
        <v>#N/A</v>
      </c>
      <c r="M90" s="11" t="e">
        <v>#N/A</v>
      </c>
      <c r="N90" s="15" t="e">
        <v>#N/A</v>
      </c>
      <c r="P90" s="17">
        <v>3440</v>
      </c>
      <c r="Q90" s="17">
        <v>0</v>
      </c>
      <c r="R90" s="17">
        <v>90</v>
      </c>
      <c r="S90" s="17">
        <f t="array" ref="S90:U90">_xll.hdm_k2xy_data(P90,Q90,R90,$G$3:$N$75)</f>
        <v>4616253.6749999998</v>
      </c>
      <c r="T90" s="17">
        <v>504784.23300000001</v>
      </c>
      <c r="U90" s="17">
        <v>1.9964103789315093</v>
      </c>
      <c r="AC90">
        <f t="array" ref="AC90:AD90">_xll.map_xy2gps(S89,T89,"utm",$Y$4:$Z$8,$AA$4:$AB$8)</f>
        <v>45.057282973687521</v>
      </c>
      <c r="AD90">
        <v>41.698127880365398</v>
      </c>
    </row>
    <row r="91" spans="7:30" ht="22.5" customHeight="1" x14ac:dyDescent="0.15">
      <c r="G91" s="11" t="e">
        <v>#N/A</v>
      </c>
      <c r="H91" s="11" t="e">
        <v>#N/A</v>
      </c>
      <c r="I91" s="11" t="e">
        <v>#N/A</v>
      </c>
      <c r="J91" s="12" t="e">
        <v>#N/A</v>
      </c>
      <c r="K91" s="11" t="e">
        <v>#N/A</v>
      </c>
      <c r="L91" s="11" t="e">
        <v>#N/A</v>
      </c>
      <c r="M91" s="11" t="e">
        <v>#N/A</v>
      </c>
      <c r="N91" s="15" t="e">
        <v>#N/A</v>
      </c>
      <c r="P91" s="17">
        <v>3460</v>
      </c>
      <c r="Q91" s="17">
        <v>0</v>
      </c>
      <c r="R91" s="17">
        <v>90</v>
      </c>
      <c r="S91" s="17">
        <f t="array" ref="S91:U91">_xll.hdm_k2xy_data(P91,Q91,R91,$G$3:$N$75)</f>
        <v>4616245.4170000004</v>
      </c>
      <c r="T91" s="17">
        <v>504802.44900000002</v>
      </c>
      <c r="U91" s="17">
        <v>1.9964103789315093</v>
      </c>
      <c r="AC91">
        <f t="array" ref="AC91:AD91">_xll.map_xy2gps(S90,T90,"utm",$Y$4:$Z$8,$AA$4:$AB$8)</f>
        <v>45.057501828901856</v>
      </c>
      <c r="AD91">
        <v>41.698053399117185</v>
      </c>
    </row>
    <row r="92" spans="7:30" ht="22.5" customHeight="1" x14ac:dyDescent="0.15">
      <c r="G92" s="11" t="e">
        <v>#N/A</v>
      </c>
      <c r="H92" s="11" t="e">
        <v>#N/A</v>
      </c>
      <c r="I92" s="11" t="e">
        <v>#N/A</v>
      </c>
      <c r="J92" s="12" t="e">
        <v>#N/A</v>
      </c>
      <c r="K92" s="11" t="e">
        <v>#N/A</v>
      </c>
      <c r="L92" s="11" t="e">
        <v>#N/A</v>
      </c>
      <c r="M92" s="11" t="e">
        <v>#N/A</v>
      </c>
      <c r="N92" s="15" t="e">
        <v>#N/A</v>
      </c>
      <c r="P92" s="17">
        <v>3480</v>
      </c>
      <c r="Q92" s="17">
        <v>0</v>
      </c>
      <c r="R92" s="17">
        <v>90</v>
      </c>
      <c r="S92" s="17">
        <f t="array" ref="S92:U92">_xll.hdm_k2xy_data(P92,Q92,R92,$G$3:$N$75)</f>
        <v>4616237.159</v>
      </c>
      <c r="T92" s="17">
        <v>504820.66499999998</v>
      </c>
      <c r="U92" s="17">
        <v>1.9964103789315093</v>
      </c>
      <c r="AC92">
        <f t="array" ref="AC92:AD92">_xll.map_xy2gps(S91,T91,"utm",$Y$4:$Z$8,$AA$4:$AB$8)</f>
        <v>45.057720683602717</v>
      </c>
      <c r="AD92">
        <v>41.697978908444426</v>
      </c>
    </row>
    <row r="93" spans="7:30" ht="22.5" customHeight="1" x14ac:dyDescent="0.15">
      <c r="G93" s="11" t="e">
        <v>#N/A</v>
      </c>
      <c r="H93" s="11" t="e">
        <v>#N/A</v>
      </c>
      <c r="I93" s="11" t="e">
        <v>#N/A</v>
      </c>
      <c r="J93" s="12" t="e">
        <v>#N/A</v>
      </c>
      <c r="K93" s="11" t="e">
        <v>#N/A</v>
      </c>
      <c r="L93" s="11" t="e">
        <v>#N/A</v>
      </c>
      <c r="M93" s="11" t="e">
        <v>#N/A</v>
      </c>
      <c r="N93" s="15" t="e">
        <v>#N/A</v>
      </c>
      <c r="P93" s="17">
        <v>3500</v>
      </c>
      <c r="Q93" s="17">
        <v>0</v>
      </c>
      <c r="R93" s="17">
        <v>90</v>
      </c>
      <c r="S93" s="17">
        <f t="array" ref="S93:U93">_xll.hdm_k2xy_data(P93,Q93,R93,$G$3:$N$75)</f>
        <v>4616228.9019999998</v>
      </c>
      <c r="T93" s="17">
        <v>504838.88</v>
      </c>
      <c r="U93" s="17">
        <v>1.9964103789315093</v>
      </c>
      <c r="AC93">
        <f t="array" ref="AC93:AD93">_xll.map_xy2gps(S92,T92,"utm",$Y$4:$Z$8,$AA$4:$AB$8)</f>
        <v>45.057939537798134</v>
      </c>
      <c r="AD93">
        <v>41.697904417354245</v>
      </c>
    </row>
    <row r="94" spans="7:30" ht="22.5" customHeight="1" x14ac:dyDescent="0.15">
      <c r="G94" s="11" t="e">
        <v>#N/A</v>
      </c>
      <c r="H94" s="11" t="e">
        <v>#N/A</v>
      </c>
      <c r="I94" s="11" t="e">
        <v>#N/A</v>
      </c>
      <c r="J94" s="12" t="e">
        <v>#N/A</v>
      </c>
      <c r="K94" s="11" t="e">
        <v>#N/A</v>
      </c>
      <c r="L94" s="11" t="e">
        <v>#N/A</v>
      </c>
      <c r="M94" s="11" t="e">
        <v>#N/A</v>
      </c>
      <c r="N94" s="15" t="e">
        <v>#N/A</v>
      </c>
      <c r="P94" s="17">
        <v>3520</v>
      </c>
      <c r="Q94" s="17">
        <v>0</v>
      </c>
      <c r="R94" s="17">
        <v>90</v>
      </c>
      <c r="S94" s="17">
        <f t="array" ref="S94:U94">_xll.hdm_k2xy_data(P94,Q94,R94,$G$3:$N$75)</f>
        <v>4616220.6440000003</v>
      </c>
      <c r="T94" s="17">
        <v>504857.09600000002</v>
      </c>
      <c r="U94" s="17">
        <v>1.9964103789315093</v>
      </c>
      <c r="AC94">
        <f t="array" ref="AC94:AD94">_xll.map_xy2gps(S93,T93,"utm",$Y$4:$Z$8,$AA$4:$AB$8)</f>
        <v>45.058158379478151</v>
      </c>
      <c r="AD94">
        <v>41.697829934859854</v>
      </c>
    </row>
    <row r="95" spans="7:30" ht="22.5" customHeight="1" x14ac:dyDescent="0.15">
      <c r="G95" s="11" t="e">
        <v>#N/A</v>
      </c>
      <c r="H95" s="11" t="e">
        <v>#N/A</v>
      </c>
      <c r="I95" s="11" t="e">
        <v>#N/A</v>
      </c>
      <c r="J95" s="12" t="e">
        <v>#N/A</v>
      </c>
      <c r="K95" s="11" t="e">
        <v>#N/A</v>
      </c>
      <c r="L95" s="11" t="e">
        <v>#N/A</v>
      </c>
      <c r="M95" s="11" t="e">
        <v>#N/A</v>
      </c>
      <c r="N95" s="15" t="e">
        <v>#N/A</v>
      </c>
      <c r="P95" s="17">
        <v>3540</v>
      </c>
      <c r="Q95" s="17">
        <v>0</v>
      </c>
      <c r="R95" s="17">
        <v>90</v>
      </c>
      <c r="S95" s="17">
        <f t="array" ref="S95:U95">_xll.hdm_k2xy_data(P95,Q95,R95,$G$3:$N$75)</f>
        <v>4616212.3870000001</v>
      </c>
      <c r="T95" s="17">
        <v>504875.31199999998</v>
      </c>
      <c r="U95" s="17">
        <v>1.9964103789315093</v>
      </c>
      <c r="AC95">
        <f t="array" ref="AC95:AD95">_xll.map_xy2gps(S94,T94,"utm",$Y$4:$Z$8,$AA$4:$AB$8)</f>
        <v>45.058377232662671</v>
      </c>
      <c r="AD95">
        <v>41.69775544293487</v>
      </c>
    </row>
    <row r="96" spans="7:30" ht="22.5" customHeight="1" x14ac:dyDescent="0.15">
      <c r="G96" s="11" t="e">
        <v>#N/A</v>
      </c>
      <c r="H96" s="11" t="e">
        <v>#N/A</v>
      </c>
      <c r="I96" s="11" t="e">
        <v>#N/A</v>
      </c>
      <c r="J96" s="12" t="e">
        <v>#N/A</v>
      </c>
      <c r="K96" s="11" t="e">
        <v>#N/A</v>
      </c>
      <c r="L96" s="11" t="e">
        <v>#N/A</v>
      </c>
      <c r="M96" s="11" t="e">
        <v>#N/A</v>
      </c>
      <c r="N96" s="15" t="e">
        <v>#N/A</v>
      </c>
      <c r="P96" s="17">
        <v>3560</v>
      </c>
      <c r="Q96" s="17">
        <v>0</v>
      </c>
      <c r="R96" s="17">
        <v>90</v>
      </c>
      <c r="S96" s="17">
        <f t="array" ref="S96:U96">_xll.hdm_k2xy_data(P96,Q96,R96,$G$3:$N$75)</f>
        <v>4616204.1289999997</v>
      </c>
      <c r="T96" s="17">
        <v>504893.527</v>
      </c>
      <c r="U96" s="17">
        <v>1.9964103789315093</v>
      </c>
      <c r="AC96">
        <f t="array" ref="AC96:AD96">_xll.map_xy2gps(S95,T95,"utm",$Y$4:$Z$8,$AA$4:$AB$8)</f>
        <v>45.058596085349897</v>
      </c>
      <c r="AD96">
        <v>41.697680959599623</v>
      </c>
    </row>
    <row r="97" spans="7:30" ht="22.5" customHeight="1" x14ac:dyDescent="0.15">
      <c r="G97" s="11" t="e">
        <v>#N/A</v>
      </c>
      <c r="H97" s="11" t="e">
        <v>#N/A</v>
      </c>
      <c r="I97" s="11" t="e">
        <v>#N/A</v>
      </c>
      <c r="J97" s="12" t="e">
        <v>#N/A</v>
      </c>
      <c r="K97" s="11" t="e">
        <v>#N/A</v>
      </c>
      <c r="L97" s="11" t="e">
        <v>#N/A</v>
      </c>
      <c r="M97" s="11" t="e">
        <v>#N/A</v>
      </c>
      <c r="N97" s="15" t="e">
        <v>#N/A</v>
      </c>
      <c r="P97" s="17">
        <v>3580</v>
      </c>
      <c r="Q97" s="17">
        <v>0</v>
      </c>
      <c r="R97" s="17">
        <v>90</v>
      </c>
      <c r="S97" s="17">
        <f t="array" ref="S97:U97">_xll.hdm_k2xy_data(P97,Q97,R97,$G$3:$N$75)</f>
        <v>4616195.8710000003</v>
      </c>
      <c r="T97" s="17">
        <v>504911.74300000002</v>
      </c>
      <c r="U97" s="17">
        <v>1.9964103789315093</v>
      </c>
      <c r="AC97">
        <f t="array" ref="AC97:AD97">_xll.map_xy2gps(S96,T96,"utm",$Y$4:$Z$8,$AA$4:$AB$8)</f>
        <v>45.058814925505516</v>
      </c>
      <c r="AD97">
        <v>41.697606466845968</v>
      </c>
    </row>
    <row r="98" spans="7:30" ht="22.5" customHeight="1" x14ac:dyDescent="0.15">
      <c r="G98" s="11" t="e">
        <v>#N/A</v>
      </c>
      <c r="H98" s="11" t="e">
        <v>#N/A</v>
      </c>
      <c r="I98" s="11" t="e">
        <v>#N/A</v>
      </c>
      <c r="J98" s="12" t="e">
        <v>#N/A</v>
      </c>
      <c r="K98" s="11" t="e">
        <v>#N/A</v>
      </c>
      <c r="L98" s="11" t="e">
        <v>#N/A</v>
      </c>
      <c r="M98" s="11" t="e">
        <v>#N/A</v>
      </c>
      <c r="N98" s="15" t="e">
        <v>#N/A</v>
      </c>
      <c r="P98" s="17">
        <v>3600</v>
      </c>
      <c r="Q98" s="17">
        <v>0</v>
      </c>
      <c r="R98" s="17">
        <v>90</v>
      </c>
      <c r="S98" s="17">
        <f t="array" ref="S98:U98">_xll.hdm_k2xy_data(P98,Q98,R98,$G$3:$N$75)</f>
        <v>4616187.6140000001</v>
      </c>
      <c r="T98" s="17">
        <v>504929.95899999997</v>
      </c>
      <c r="U98" s="17">
        <v>1.9964103789315093</v>
      </c>
      <c r="AC98">
        <f t="array" ref="AC98:AD98">_xll.map_xy2gps(S97,T97,"utm",$Y$4:$Z$8,$AA$4:$AB$8)</f>
        <v>45.059033777173674</v>
      </c>
      <c r="AD98">
        <v>41.697531973668802</v>
      </c>
    </row>
    <row r="99" spans="7:30" ht="22.5" customHeight="1" x14ac:dyDescent="0.15">
      <c r="G99" s="11" t="e">
        <v>#N/A</v>
      </c>
      <c r="H99" s="11" t="e">
        <v>#N/A</v>
      </c>
      <c r="I99" s="11" t="e">
        <v>#N/A</v>
      </c>
      <c r="J99" s="12" t="e">
        <v>#N/A</v>
      </c>
      <c r="K99" s="11" t="e">
        <v>#N/A</v>
      </c>
      <c r="L99" s="11" t="e">
        <v>#N/A</v>
      </c>
      <c r="M99" s="11" t="e">
        <v>#N/A</v>
      </c>
      <c r="N99" s="15" t="e">
        <v>#N/A</v>
      </c>
      <c r="P99" s="17">
        <v>3620</v>
      </c>
      <c r="Q99" s="17">
        <v>0</v>
      </c>
      <c r="R99" s="17">
        <v>90</v>
      </c>
      <c r="S99" s="17">
        <f t="array" ref="S99:U99">_xll.hdm_k2xy_data(P99,Q99,R99,$G$3:$N$75)</f>
        <v>4616179.3559999997</v>
      </c>
      <c r="T99" s="17">
        <v>504948.174</v>
      </c>
      <c r="U99" s="17">
        <v>1.9964103789315093</v>
      </c>
      <c r="AC99">
        <f t="array" ref="AC99:AD99">_xll.map_xy2gps(S98,T98,"utm",$Y$4:$Z$8,$AA$4:$AB$8)</f>
        <v>45.059252628344616</v>
      </c>
      <c r="AD99">
        <v>41.697457489081351</v>
      </c>
    </row>
    <row r="100" spans="7:30" ht="22.5" customHeight="1" x14ac:dyDescent="0.15">
      <c r="G100" s="11" t="e">
        <v>#N/A</v>
      </c>
      <c r="H100" s="11" t="e">
        <v>#N/A</v>
      </c>
      <c r="I100" s="11" t="e">
        <v>#N/A</v>
      </c>
      <c r="J100" s="12" t="e">
        <v>#N/A</v>
      </c>
      <c r="K100" s="11" t="e">
        <v>#N/A</v>
      </c>
      <c r="L100" s="11" t="e">
        <v>#N/A</v>
      </c>
      <c r="M100" s="11" t="e">
        <v>#N/A</v>
      </c>
      <c r="N100" s="15" t="e">
        <v>#N/A</v>
      </c>
      <c r="P100" s="17">
        <v>3640</v>
      </c>
      <c r="Q100" s="17">
        <v>0</v>
      </c>
      <c r="R100" s="17">
        <v>90</v>
      </c>
      <c r="S100" s="17">
        <f t="array" ref="S100:U100">_xll.hdm_k2xy_data(P100,Q100,R100,$G$3:$N$75)</f>
        <v>4616171.0990000004</v>
      </c>
      <c r="T100" s="17">
        <v>504966.39</v>
      </c>
      <c r="U100" s="17">
        <v>1.9964103789315093</v>
      </c>
      <c r="AC100">
        <f t="array" ref="AC100:AD100">_xll.map_xy2gps(S99,T99,"utm",$Y$4:$Z$8,$AA$4:$AB$8)</f>
        <v>45.059471466983908</v>
      </c>
      <c r="AD100">
        <v>41.6973829950756</v>
      </c>
    </row>
    <row r="101" spans="7:30" ht="22.5" customHeight="1" x14ac:dyDescent="0.15">
      <c r="G101" s="11" t="e">
        <v>#N/A</v>
      </c>
      <c r="H101" s="11" t="e">
        <v>#N/A</v>
      </c>
      <c r="I101" s="11" t="e">
        <v>#N/A</v>
      </c>
      <c r="J101" s="12" t="e">
        <v>#N/A</v>
      </c>
      <c r="K101" s="11" t="e">
        <v>#N/A</v>
      </c>
      <c r="L101" s="11" t="e">
        <v>#N/A</v>
      </c>
      <c r="M101" s="11" t="e">
        <v>#N/A</v>
      </c>
      <c r="N101" s="15" t="e">
        <v>#N/A</v>
      </c>
      <c r="P101" s="17">
        <v>3660</v>
      </c>
      <c r="Q101" s="17">
        <v>0</v>
      </c>
      <c r="R101" s="17">
        <v>90</v>
      </c>
      <c r="S101" s="17">
        <f t="array" ref="S101:U101">_xll.hdm_k2xy_data(P101,Q101,R101,$G$3:$N$75)</f>
        <v>4616162.841</v>
      </c>
      <c r="T101" s="17">
        <v>504984.60600000003</v>
      </c>
      <c r="U101" s="17">
        <v>1.9964103789315093</v>
      </c>
      <c r="AC101">
        <f t="array" ref="AC101:AD101">_xll.map_xy2gps(S100,T100,"utm",$Y$4:$Z$8,$AA$4:$AB$8)</f>
        <v>45.059690317143996</v>
      </c>
      <c r="AD101">
        <v>41.697308509653418</v>
      </c>
    </row>
    <row r="102" spans="7:30" ht="22.5" customHeight="1" x14ac:dyDescent="0.15">
      <c r="G102" s="11" t="e">
        <v>#N/A</v>
      </c>
      <c r="H102" s="11" t="e">
        <v>#N/A</v>
      </c>
      <c r="I102" s="11" t="e">
        <v>#N/A</v>
      </c>
      <c r="J102" s="12" t="e">
        <v>#N/A</v>
      </c>
      <c r="K102" s="11" t="e">
        <v>#N/A</v>
      </c>
      <c r="L102" s="11" t="e">
        <v>#N/A</v>
      </c>
      <c r="M102" s="11" t="e">
        <v>#N/A</v>
      </c>
      <c r="N102" s="15" t="e">
        <v>#N/A</v>
      </c>
      <c r="P102" s="17">
        <v>3680</v>
      </c>
      <c r="Q102" s="17">
        <v>0</v>
      </c>
      <c r="R102" s="17">
        <v>90</v>
      </c>
      <c r="S102" s="17">
        <f t="array" ref="S102:U102">_xll.hdm_k2xy_data(P102,Q102,R102,$G$3:$N$75)</f>
        <v>4616154.5829999996</v>
      </c>
      <c r="T102" s="17">
        <v>505002.82199999999</v>
      </c>
      <c r="U102" s="17">
        <v>1.9964103789315093</v>
      </c>
      <c r="AC102">
        <f t="array" ref="AC102:AD102">_xll.map_xy2gps(S101,T101,"utm",$Y$4:$Z$8,$AA$4:$AB$8)</f>
        <v>45.05990916679032</v>
      </c>
      <c r="AD102">
        <v>41.697234014806682</v>
      </c>
    </row>
    <row r="103" spans="7:30" ht="22.5" customHeight="1" x14ac:dyDescent="0.15">
      <c r="P103" s="17">
        <v>3700</v>
      </c>
      <c r="Q103" s="17">
        <v>0</v>
      </c>
      <c r="R103" s="17">
        <v>90</v>
      </c>
      <c r="S103" s="17">
        <f t="array" ref="S103:U103">_xll.hdm_k2xy_data(P103,Q103,R103,$G$3:$N$75)</f>
        <v>4616146.3260000004</v>
      </c>
      <c r="T103" s="17">
        <v>505021.03700000001</v>
      </c>
      <c r="U103" s="17">
        <v>1.9964103789315093</v>
      </c>
      <c r="AC103">
        <f t="array" ref="AC103:AD103">_xll.map_xy2gps(S102,T102,"utm",$Y$4:$Z$8,$AA$4:$AB$8)</f>
        <v>45.060128015931156</v>
      </c>
      <c r="AD103">
        <v>41.697159519542566</v>
      </c>
    </row>
    <row r="104" spans="7:30" ht="22.5" customHeight="1" x14ac:dyDescent="0.15">
      <c r="P104" s="17">
        <v>3720</v>
      </c>
      <c r="Q104" s="17">
        <v>0</v>
      </c>
      <c r="R104" s="17">
        <v>90</v>
      </c>
      <c r="S104" s="17">
        <f t="array" ref="S104:U104">_xll.hdm_k2xy_data(P104,Q104,R104,$G$3:$N$75)</f>
        <v>4616138.068</v>
      </c>
      <c r="T104" s="17">
        <v>505039.25300000003</v>
      </c>
      <c r="U104" s="17">
        <v>1.9964103789315093</v>
      </c>
      <c r="AC104">
        <f t="array" ref="AC104:AD104">_xll.map_xy2gps(S103,T103,"utm",$Y$4:$Z$8,$AA$4:$AB$8)</f>
        <v>45.060346852557032</v>
      </c>
      <c r="AD104">
        <v>41.697085032874533</v>
      </c>
    </row>
    <row r="105" spans="7:30" ht="22.5" customHeight="1" x14ac:dyDescent="0.15">
      <c r="P105" s="17">
        <v>3740</v>
      </c>
      <c r="Q105" s="17">
        <v>0</v>
      </c>
      <c r="R105" s="17">
        <v>90</v>
      </c>
      <c r="S105" s="17">
        <f t="array" ref="S105:U105">_xll.hdm_k2xy_data(P105,Q105,R105,$G$3:$N$75)</f>
        <v>4616129.8099999996</v>
      </c>
      <c r="T105" s="17">
        <v>505057.46899999998</v>
      </c>
      <c r="U105" s="17">
        <v>1.9964103789315093</v>
      </c>
      <c r="AC105">
        <f t="array" ref="AC105:AD105">_xll.map_xy2gps(S104,T104,"utm",$Y$4:$Z$8,$AA$4:$AB$8)</f>
        <v>45.060565700686951</v>
      </c>
      <c r="AD105">
        <v>41.697010536775679</v>
      </c>
    </row>
    <row r="106" spans="7:30" ht="22.5" customHeight="1" x14ac:dyDescent="0.15">
      <c r="P106" s="17">
        <v>3760</v>
      </c>
      <c r="Q106" s="17">
        <v>0</v>
      </c>
      <c r="R106" s="17">
        <v>90</v>
      </c>
      <c r="S106" s="17">
        <f t="array" ref="S106:U106">_xll.hdm_k2xy_data(P106,Q106,R106,$G$3:$N$75)</f>
        <v>4616121.5530000003</v>
      </c>
      <c r="T106" s="17">
        <v>505075.68400000001</v>
      </c>
      <c r="U106" s="17">
        <v>1.9964103789315093</v>
      </c>
      <c r="AC106">
        <f t="array" ref="AC106:AD106">_xll.map_xy2gps(S105,T105,"utm",$Y$4:$Z$8,$AA$4:$AB$8)</f>
        <v>45.060784548311382</v>
      </c>
      <c r="AD106">
        <v>41.696936040259452</v>
      </c>
    </row>
    <row r="107" spans="7:30" ht="22.5" customHeight="1" x14ac:dyDescent="0.15">
      <c r="P107" s="17">
        <v>3780</v>
      </c>
      <c r="Q107" s="17">
        <v>0</v>
      </c>
      <c r="R107" s="17">
        <v>90</v>
      </c>
      <c r="S107" s="17">
        <f t="array" ref="S107:U107">_xll.hdm_k2xy_data(P107,Q107,R107,$G$3:$N$75)</f>
        <v>4616113.2949999999</v>
      </c>
      <c r="T107" s="17">
        <v>505093.9</v>
      </c>
      <c r="U107" s="17">
        <v>1.9964103789315093</v>
      </c>
      <c r="AC107">
        <f t="array" ref="AC107:AD107">_xll.map_xy2gps(S106,T106,"utm",$Y$4:$Z$8,$AA$4:$AB$8)</f>
        <v>45.061003383420982</v>
      </c>
      <c r="AD107">
        <v>41.696861552339378</v>
      </c>
    </row>
    <row r="108" spans="7:30" ht="22.5" customHeight="1" x14ac:dyDescent="0.15">
      <c r="P108" s="17">
        <v>3800</v>
      </c>
      <c r="Q108" s="17">
        <v>0</v>
      </c>
      <c r="R108" s="17">
        <v>90</v>
      </c>
      <c r="S108" s="17">
        <f t="array" ref="S108:U108">_xll.hdm_k2xy_data(P108,Q108,R108,$G$3:$N$75)</f>
        <v>4616105.0379999997</v>
      </c>
      <c r="T108" s="17">
        <v>505112.11599999998</v>
      </c>
      <c r="U108" s="17">
        <v>1.9964103789315093</v>
      </c>
      <c r="AC108">
        <f t="array" ref="AC108:AD108">_xll.map_xy2gps(S107,T107,"utm",$Y$4:$Z$8,$AA$4:$AB$8)</f>
        <v>45.061222230034474</v>
      </c>
      <c r="AD108">
        <v>41.69678705498842</v>
      </c>
    </row>
    <row r="109" spans="7:30" ht="22.5" customHeight="1" x14ac:dyDescent="0.15">
      <c r="P109" s="17">
        <v>3820</v>
      </c>
      <c r="Q109" s="17">
        <v>0</v>
      </c>
      <c r="R109" s="17">
        <v>90</v>
      </c>
      <c r="S109" s="17">
        <f t="array" ref="S109:U109">_xll.hdm_k2xy_data(P109,Q109,R109,$G$3:$N$75)</f>
        <v>4616096.78</v>
      </c>
      <c r="T109" s="17">
        <v>505130.33199999999</v>
      </c>
      <c r="U109" s="17">
        <v>1.9964103789315093</v>
      </c>
      <c r="AC109">
        <f t="array" ref="AC109:AD109">_xll.map_xy2gps(S108,T108,"utm",$Y$4:$Z$8,$AA$4:$AB$8)</f>
        <v>45.061441076151041</v>
      </c>
      <c r="AD109">
        <v>41.696712566227269</v>
      </c>
    </row>
    <row r="110" spans="7:30" ht="22.5" customHeight="1" x14ac:dyDescent="0.15">
      <c r="P110" s="17">
        <v>3840</v>
      </c>
      <c r="Q110" s="17">
        <v>0</v>
      </c>
      <c r="R110" s="17">
        <v>90</v>
      </c>
      <c r="S110" s="17">
        <f t="array" ref="S110:U110">_xll.hdm_k2xy_data(P110,Q110,R110,$G$3:$N$75)</f>
        <v>4616088.5219999999</v>
      </c>
      <c r="T110" s="17">
        <v>505148.54700000002</v>
      </c>
      <c r="U110" s="17">
        <v>1.9964103789315093</v>
      </c>
      <c r="AC110">
        <f t="array" ref="AC110:AD110">_xll.map_xy2gps(S109,T109,"utm",$Y$4:$Z$8,$AA$4:$AB$8)</f>
        <v>45.061659921753595</v>
      </c>
      <c r="AD110">
        <v>41.696638068041594</v>
      </c>
    </row>
    <row r="111" spans="7:30" ht="22.5" customHeight="1" x14ac:dyDescent="0.15">
      <c r="P111" s="17">
        <v>3860</v>
      </c>
      <c r="Q111" s="17">
        <v>0</v>
      </c>
      <c r="R111" s="17">
        <v>90</v>
      </c>
      <c r="S111" s="17">
        <f t="array" ref="S111:U111">_xll.hdm_k2xy_data(P111,Q111,R111,$G$3:$N$75)</f>
        <v>4616080.2649999997</v>
      </c>
      <c r="T111" s="17">
        <v>505166.76299999998</v>
      </c>
      <c r="U111" s="17">
        <v>1.9964103789315093</v>
      </c>
      <c r="AC111">
        <f t="array" ref="AC111:AD111">_xll.map_xy2gps(S110,T110,"utm",$Y$4:$Z$8,$AA$4:$AB$8)</f>
        <v>45.06187875483284</v>
      </c>
      <c r="AD111">
        <v>41.696563569445033</v>
      </c>
    </row>
    <row r="112" spans="7:30" ht="22.5" customHeight="1" x14ac:dyDescent="0.15">
      <c r="P112" s="17">
        <v>3880</v>
      </c>
      <c r="Q112" s="17">
        <v>0</v>
      </c>
      <c r="R112" s="17">
        <v>90</v>
      </c>
      <c r="S112" s="17">
        <f t="array" ref="S112:U112">_xll.hdm_k2xy_data(P112,Q112,R112,$G$3:$N$75)</f>
        <v>4616072.0070000002</v>
      </c>
      <c r="T112" s="17">
        <v>505184.97899999999</v>
      </c>
      <c r="U112" s="17">
        <v>1.9964103789315093</v>
      </c>
      <c r="AC112">
        <f t="array" ref="AC112:AD112">_xll.map_xy2gps(S111,T111,"utm",$Y$4:$Z$8,$AA$4:$AB$8)</f>
        <v>45.062097599433066</v>
      </c>
      <c r="AD112">
        <v>41.696489079431821</v>
      </c>
    </row>
    <row r="113" spans="16:30" ht="22.5" customHeight="1" x14ac:dyDescent="0.15">
      <c r="P113" s="17">
        <v>3900</v>
      </c>
      <c r="Q113" s="17">
        <v>0</v>
      </c>
      <c r="R113" s="17">
        <v>90</v>
      </c>
      <c r="S113" s="17">
        <f t="array" ref="S113:U113">_xll.hdm_k2xy_data(P113,Q113,R113,$G$3:$N$75)</f>
        <v>4616063.75</v>
      </c>
      <c r="T113" s="17">
        <v>505203.19400000002</v>
      </c>
      <c r="U113" s="17">
        <v>1.9964103789315093</v>
      </c>
      <c r="AC113">
        <f t="array" ref="AC113:AD113">_xll.map_xy2gps(S112,T112,"utm",$Y$4:$Z$8,$AA$4:$AB$8)</f>
        <v>45.062316443519158</v>
      </c>
      <c r="AD113">
        <v>41.696414579994112</v>
      </c>
    </row>
    <row r="114" spans="16:30" ht="22.5" customHeight="1" x14ac:dyDescent="0.15">
      <c r="P114" s="17">
        <v>3920</v>
      </c>
      <c r="Q114" s="17">
        <v>0</v>
      </c>
      <c r="R114" s="17">
        <v>90</v>
      </c>
      <c r="S114" s="17">
        <f t="array" ref="S114:U114">_xll.hdm_k2xy_data(P114,Q114,R114,$G$3:$N$75)</f>
        <v>4616055.4919999996</v>
      </c>
      <c r="T114" s="17">
        <v>505221.41</v>
      </c>
      <c r="U114" s="17">
        <v>1.9964103789315093</v>
      </c>
      <c r="AC114">
        <f t="array" ref="AC114:AD114">_xll.map_xy2gps(S113,T113,"utm",$Y$4:$Z$8,$AA$4:$AB$8)</f>
        <v>45.062535275090724</v>
      </c>
      <c r="AD114">
        <v>41.696340089152727</v>
      </c>
    </row>
    <row r="115" spans="16:30" ht="22.5" customHeight="1" x14ac:dyDescent="0.15">
      <c r="P115" s="17">
        <v>3940</v>
      </c>
      <c r="Q115" s="17">
        <v>0</v>
      </c>
      <c r="R115" s="17">
        <v>90</v>
      </c>
      <c r="S115" s="17">
        <f t="array" ref="S115:U115">_xll.hdm_k2xy_data(P115,Q115,R115,$G$3:$N$75)</f>
        <v>4616047.2340000002</v>
      </c>
      <c r="T115" s="17">
        <v>505239.62599999999</v>
      </c>
      <c r="U115" s="17">
        <v>1.9964103789315093</v>
      </c>
      <c r="AC115">
        <f t="array" ref="AC115:AD115">_xll.map_xy2gps(S114,T114,"utm",$Y$4:$Z$8,$AA$4:$AB$8)</f>
        <v>45.062754118165863</v>
      </c>
      <c r="AD115">
        <v>41.696265588880337</v>
      </c>
    </row>
    <row r="116" spans="16:30" ht="22.5" customHeight="1" x14ac:dyDescent="0.15">
      <c r="P116" s="17">
        <v>3960</v>
      </c>
      <c r="Q116" s="17">
        <v>0</v>
      </c>
      <c r="R116" s="17">
        <v>90</v>
      </c>
      <c r="S116" s="17">
        <f t="array" ref="S116:U116">_xll.hdm_k2xy_data(P116,Q116,R116,$G$3:$N$75)</f>
        <v>4616038.977</v>
      </c>
      <c r="T116" s="17">
        <v>505257.842</v>
      </c>
      <c r="U116" s="17">
        <v>1.9964103789315093</v>
      </c>
      <c r="AC116">
        <f t="array" ref="AC116:AD116">_xll.map_xy2gps(S115,T115,"utm",$Y$4:$Z$8,$AA$4:$AB$8)</f>
        <v>45.062972960735493</v>
      </c>
      <c r="AD116">
        <v>41.696191088190609</v>
      </c>
    </row>
    <row r="117" spans="16:30" ht="22.5" customHeight="1" x14ac:dyDescent="0.15">
      <c r="P117" s="17">
        <v>3980</v>
      </c>
      <c r="Q117" s="17">
        <v>0</v>
      </c>
      <c r="R117" s="17">
        <v>90</v>
      </c>
      <c r="S117" s="17">
        <f t="array" ref="S117:U117">_xll.hdm_k2xy_data(P117,Q117,R117,$G$3:$N$75)</f>
        <v>4616030.7189999996</v>
      </c>
      <c r="T117" s="17">
        <v>505276.05699999997</v>
      </c>
      <c r="U117" s="17">
        <v>1.9964103789315093</v>
      </c>
      <c r="AC117">
        <f t="array" ref="AC117:AD117">_xll.map_xy2gps(S116,T116,"utm",$Y$4:$Z$8,$AA$4:$AB$8)</f>
        <v>45.063191802808433</v>
      </c>
      <c r="AD117">
        <v>41.696116596090683</v>
      </c>
    </row>
    <row r="118" spans="16:30" ht="22.5" customHeight="1" x14ac:dyDescent="0.15">
      <c r="P118" s="17">
        <v>4000</v>
      </c>
      <c r="Q118" s="17">
        <v>0</v>
      </c>
      <c r="R118" s="17">
        <v>90</v>
      </c>
      <c r="S118" s="17">
        <f t="array" ref="S118:U118">_xll.hdm_k2xy_data(P118,Q118,R118,$G$3:$N$75)</f>
        <v>4616022.4620000003</v>
      </c>
      <c r="T118" s="17">
        <v>505294.27299999999</v>
      </c>
      <c r="U118" s="17">
        <v>1.9964103789315093</v>
      </c>
      <c r="AC118">
        <f t="array" ref="AC118:AD118">_xll.map_xy2gps(S117,T117,"utm",$Y$4:$Z$8,$AA$4:$AB$8)</f>
        <v>45.063410632349388</v>
      </c>
      <c r="AD118">
        <v>41.696042094572924</v>
      </c>
    </row>
    <row r="119" spans="16:30" ht="22.5" customHeight="1" x14ac:dyDescent="0.15">
      <c r="P119" s="17">
        <v>4020</v>
      </c>
      <c r="Q119" s="17">
        <v>0</v>
      </c>
      <c r="R119" s="17">
        <v>90</v>
      </c>
      <c r="S119" s="17">
        <f t="array" ref="S119:U119">_xll.hdm_k2xy_data(P119,Q119,R119,$G$3:$N$75)</f>
        <v>4616014.2039999999</v>
      </c>
      <c r="T119" s="17">
        <v>505312.489</v>
      </c>
      <c r="U119" s="17">
        <v>1.9964103789315093</v>
      </c>
      <c r="AC119">
        <f t="array" ref="AC119:AD119">_xll.map_xy2gps(S118,T118,"utm",$Y$4:$Z$8,$AA$4:$AB$8)</f>
        <v>45.06362947341141</v>
      </c>
      <c r="AD119">
        <v>41.695967601638344</v>
      </c>
    </row>
    <row r="120" spans="16:30" ht="22.5" customHeight="1" x14ac:dyDescent="0.15">
      <c r="P120" s="17">
        <v>4040</v>
      </c>
      <c r="Q120" s="17">
        <v>0</v>
      </c>
      <c r="R120" s="17">
        <v>90</v>
      </c>
      <c r="S120" s="17">
        <f t="array" ref="S120:U120">_xll.hdm_k2xy_data(P120,Q120,R120,$G$3:$N$75)</f>
        <v>4616005.9460000005</v>
      </c>
      <c r="T120" s="17">
        <v>505330.70400000003</v>
      </c>
      <c r="U120" s="17">
        <v>1.9964103789315093</v>
      </c>
      <c r="AC120">
        <f t="array" ref="AC120:AD120">_xll.map_xy2gps(S119,T119,"utm",$Y$4:$Z$8,$AA$4:$AB$8)</f>
        <v>45.063848313959085</v>
      </c>
      <c r="AD120">
        <v>41.69589309927931</v>
      </c>
    </row>
    <row r="121" spans="16:30" ht="22.5" customHeight="1" x14ac:dyDescent="0.15">
      <c r="P121" s="17">
        <v>4060</v>
      </c>
      <c r="Q121" s="17">
        <v>0</v>
      </c>
      <c r="R121" s="17">
        <v>90</v>
      </c>
      <c r="S121" s="17">
        <f t="array" ref="S121:U121">_xll.hdm_k2xy_data(P121,Q121,R121,$G$3:$N$75)</f>
        <v>4615997.6890000002</v>
      </c>
      <c r="T121" s="17">
        <v>505348.92</v>
      </c>
      <c r="U121" s="17">
        <v>1.9964103789315093</v>
      </c>
      <c r="AC121">
        <f t="array" ref="AC121:AD121">_xll.map_xy2gps(S120,T120,"utm",$Y$4:$Z$8,$AA$4:$AB$8)</f>
        <v>45.064067141983593</v>
      </c>
      <c r="AD121">
        <v>41.695818596509639</v>
      </c>
    </row>
    <row r="122" spans="16:30" ht="22.5" customHeight="1" x14ac:dyDescent="0.15">
      <c r="P122" s="17">
        <v>4080</v>
      </c>
      <c r="Q122" s="17">
        <v>0</v>
      </c>
      <c r="R122" s="17">
        <v>90</v>
      </c>
      <c r="S122" s="17">
        <f t="array" ref="S122:U122">_xll.hdm_k2xy_data(P122,Q122,R122,$G$3:$N$75)</f>
        <v>4615989.4309999999</v>
      </c>
      <c r="T122" s="17">
        <v>505367.136</v>
      </c>
      <c r="U122" s="17">
        <v>1.9964103789315093</v>
      </c>
      <c r="AC122">
        <f t="array" ref="AC122:AD122">_xll.map_xy2gps(S121,T121,"utm",$Y$4:$Z$8,$AA$4:$AB$8)</f>
        <v>45.064285981529217</v>
      </c>
      <c r="AD122">
        <v>41.695744102323111</v>
      </c>
    </row>
    <row r="123" spans="16:30" ht="22.5" customHeight="1" x14ac:dyDescent="0.15">
      <c r="P123" s="17">
        <v>4100</v>
      </c>
      <c r="Q123" s="17">
        <v>0</v>
      </c>
      <c r="R123" s="17">
        <v>90</v>
      </c>
      <c r="S123" s="17">
        <f t="array" ref="S123:U123">_xll.hdm_k2xy_data(P123,Q123,R123,$G$3:$N$75)</f>
        <v>4615981.1739999996</v>
      </c>
      <c r="T123" s="17">
        <v>505385.35100000002</v>
      </c>
      <c r="U123" s="17">
        <v>1.9964103789315093</v>
      </c>
      <c r="AC123">
        <f t="array" ref="AC123:AD123">_xll.map_xy2gps(S122,T122,"utm",$Y$4:$Z$8,$AA$4:$AB$8)</f>
        <v>45.064504820560394</v>
      </c>
      <c r="AD123">
        <v>41.695669598712129</v>
      </c>
    </row>
    <row r="124" spans="16:30" ht="22.5" customHeight="1" x14ac:dyDescent="0.15">
      <c r="P124" s="17">
        <v>4120</v>
      </c>
      <c r="Q124" s="17">
        <v>0</v>
      </c>
      <c r="R124" s="17">
        <v>90</v>
      </c>
      <c r="S124" s="17">
        <f t="array" ref="S124:U124">_xll.hdm_k2xy_data(P124,Q124,R124,$G$3:$N$75)</f>
        <v>4615972.9160000002</v>
      </c>
      <c r="T124" s="17">
        <v>505403.56699999998</v>
      </c>
      <c r="U124" s="17">
        <v>1.9964103789315093</v>
      </c>
      <c r="AC124">
        <f t="array" ref="AC124:AD124">_xll.map_xy2gps(S123,T123,"utm",$Y$4:$Z$8,$AA$4:$AB$8)</f>
        <v>45.064723647077464</v>
      </c>
      <c r="AD124">
        <v>41.695595103697713</v>
      </c>
    </row>
    <row r="125" spans="16:30" ht="22.5" customHeight="1" x14ac:dyDescent="0.15">
      <c r="P125" s="17">
        <v>4140</v>
      </c>
      <c r="Q125" s="17">
        <v>0</v>
      </c>
      <c r="R125" s="17">
        <v>90</v>
      </c>
      <c r="S125" s="17">
        <f t="array" ref="S125:U125">_xll.hdm_k2xy_data(P125,Q125,R125,$G$3:$N$75)</f>
        <v>4615964.6579999998</v>
      </c>
      <c r="T125" s="17">
        <v>505421.783</v>
      </c>
      <c r="U125" s="17">
        <v>1.9964103789315093</v>
      </c>
      <c r="AC125">
        <f t="array" ref="AC125:AD125">_xll.map_xy2gps(S124,T124,"utm",$Y$4:$Z$8,$AA$4:$AB$8)</f>
        <v>45.064942485097646</v>
      </c>
      <c r="AD125">
        <v>41.695520599252134</v>
      </c>
    </row>
    <row r="126" spans="16:30" ht="22.5" customHeight="1" x14ac:dyDescent="0.15">
      <c r="P126" s="17">
        <v>4160</v>
      </c>
      <c r="Q126" s="17">
        <v>0</v>
      </c>
      <c r="R126" s="17">
        <v>90</v>
      </c>
      <c r="S126" s="17">
        <f t="array" ref="S126:U126">_xll.hdm_k2xy_data(P126,Q126,R126,$G$3:$N$75)</f>
        <v>4615956.4009999996</v>
      </c>
      <c r="T126" s="17">
        <v>505439.99900000001</v>
      </c>
      <c r="U126" s="17">
        <v>1.9964103789315093</v>
      </c>
      <c r="AC126">
        <f t="array" ref="AC126:AD126">_xll.map_xy2gps(S125,T125,"utm",$Y$4:$Z$8,$AA$4:$AB$8)</f>
        <v>45.065161322612298</v>
      </c>
      <c r="AD126">
        <v>41.695446094389219</v>
      </c>
    </row>
    <row r="127" spans="16:30" ht="22.5" customHeight="1" x14ac:dyDescent="0.15">
      <c r="P127" s="17">
        <v>4180</v>
      </c>
      <c r="Q127" s="17">
        <v>0</v>
      </c>
      <c r="R127" s="17">
        <v>90</v>
      </c>
      <c r="S127" s="17">
        <f t="array" ref="S127:U127">_xll.hdm_k2xy_data(P127,Q127,R127,$G$3:$N$75)</f>
        <v>4615948.1430000002</v>
      </c>
      <c r="T127" s="17">
        <v>505458.21399999998</v>
      </c>
      <c r="U127" s="17">
        <v>1.9964103789315093</v>
      </c>
      <c r="AC127">
        <f t="array" ref="AC127:AD127">_xll.map_xy2gps(S126,T126,"utm",$Y$4:$Z$8,$AA$4:$AB$8)</f>
        <v>45.06538015963055</v>
      </c>
      <c r="AD127">
        <v>41.695371598116154</v>
      </c>
    </row>
    <row r="128" spans="16:30" ht="22.5" customHeight="1" x14ac:dyDescent="0.15">
      <c r="P128" s="17">
        <v>4200</v>
      </c>
      <c r="Q128" s="17">
        <v>0</v>
      </c>
      <c r="R128" s="17">
        <v>90</v>
      </c>
      <c r="S128" s="17">
        <f t="array" ref="S128:U128">_xll.hdm_k2xy_data(P128,Q128,R128,$G$3:$N$75)</f>
        <v>4615939.8859999999</v>
      </c>
      <c r="T128" s="17">
        <v>505476.43</v>
      </c>
      <c r="U128" s="17">
        <v>1.9964103789315093</v>
      </c>
      <c r="AC128">
        <f t="array" ref="AC128:AD128">_xll.map_xy2gps(S127,T127,"utm",$Y$4:$Z$8,$AA$4:$AB$8)</f>
        <v>45.065598984116633</v>
      </c>
      <c r="AD128">
        <v>41.695297092425491</v>
      </c>
    </row>
    <row r="129" spans="16:30" ht="22.5" customHeight="1" x14ac:dyDescent="0.15">
      <c r="P129" s="17">
        <v>4220</v>
      </c>
      <c r="Q129" s="17">
        <v>0</v>
      </c>
      <c r="R129" s="17">
        <v>90</v>
      </c>
      <c r="S129" s="17">
        <f t="array" ref="S129:U129">_xll.hdm_k2xy_data(P129,Q129,R129,$G$3:$N$75)</f>
        <v>4615931.6279999996</v>
      </c>
      <c r="T129" s="17">
        <v>505494.64600000001</v>
      </c>
      <c r="U129" s="17">
        <v>1.9964103789315093</v>
      </c>
      <c r="AC129">
        <f t="array" ref="AC129:AD129">_xll.map_xy2gps(S128,T128,"utm",$Y$4:$Z$8,$AA$4:$AB$8)</f>
        <v>45.065817820123939</v>
      </c>
      <c r="AD129">
        <v>41.695222595317851</v>
      </c>
    </row>
    <row r="130" spans="16:30" ht="22.5" customHeight="1" x14ac:dyDescent="0.15">
      <c r="P130" s="17">
        <v>4240</v>
      </c>
      <c r="Q130" s="17">
        <v>0</v>
      </c>
      <c r="R130" s="17">
        <v>90</v>
      </c>
      <c r="S130" s="17">
        <f t="array" ref="S130:U130">_xll.hdm_k2xy_data(P130,Q130,R130,$G$3:$N$75)</f>
        <v>4615923.37</v>
      </c>
      <c r="T130" s="17">
        <v>505512.86099999998</v>
      </c>
      <c r="U130" s="17">
        <v>1.9964103789315093</v>
      </c>
      <c r="AC130">
        <f t="array" ref="AC130:AD130">_xll.map_xy2gps(S129,T129,"utm",$Y$4:$Z$8,$AA$4:$AB$8)</f>
        <v>45.066036655616578</v>
      </c>
      <c r="AD130">
        <v>41.695148088785743</v>
      </c>
    </row>
    <row r="131" spans="16:30" ht="22.5" customHeight="1" x14ac:dyDescent="0.15">
      <c r="P131" s="17">
        <v>4260</v>
      </c>
      <c r="Q131" s="17">
        <v>0</v>
      </c>
      <c r="R131" s="17">
        <v>90</v>
      </c>
      <c r="S131" s="17">
        <f t="array" ref="S131:U131">_xll.hdm_k2xy_data(P131,Q131,R131,$G$3:$N$75)</f>
        <v>4615915.1129999999</v>
      </c>
      <c r="T131" s="17">
        <v>505531.07699999999</v>
      </c>
      <c r="U131" s="17">
        <v>1.9964103789315093</v>
      </c>
      <c r="AC131">
        <f t="array" ref="AC131:AD131">_xll.map_xy2gps(S130,T130,"utm",$Y$4:$Z$8,$AA$4:$AB$8)</f>
        <v>45.066255478586164</v>
      </c>
      <c r="AD131">
        <v>41.695073581843303</v>
      </c>
    </row>
    <row r="132" spans="16:30" ht="22.5" customHeight="1" x14ac:dyDescent="0.15">
      <c r="P132" s="17">
        <v>4280</v>
      </c>
      <c r="Q132" s="17">
        <v>0</v>
      </c>
      <c r="R132" s="17">
        <v>90</v>
      </c>
      <c r="S132" s="17">
        <f t="array" ref="S132:U132">_xll.hdm_k2xy_data(P132,Q132,R132,$G$3:$N$75)</f>
        <v>4615906.8550000004</v>
      </c>
      <c r="T132" s="17">
        <v>505549.29300000001</v>
      </c>
      <c r="U132" s="17">
        <v>1.9964103789315093</v>
      </c>
      <c r="AC132">
        <f t="array" ref="AC132:AD132">_xll.map_xy2gps(S131,T131,"utm",$Y$4:$Z$8,$AA$4:$AB$8)</f>
        <v>45.066474313077016</v>
      </c>
      <c r="AD132">
        <v>41.694999083483779</v>
      </c>
    </row>
    <row r="133" spans="16:30" ht="22.5" customHeight="1" x14ac:dyDescent="0.15">
      <c r="P133" s="17">
        <v>4300</v>
      </c>
      <c r="Q133" s="17">
        <v>0</v>
      </c>
      <c r="R133" s="17">
        <v>90</v>
      </c>
      <c r="S133" s="17">
        <f t="array" ref="S133:U133">_xll.hdm_k2xy_data(P133,Q133,R133,$G$3:$N$75)</f>
        <v>4615898.5980000002</v>
      </c>
      <c r="T133" s="17">
        <v>505567.50900000002</v>
      </c>
      <c r="U133" s="17">
        <v>1.9964103789315093</v>
      </c>
      <c r="AC133">
        <f t="array" ref="AC133:AD133">_xll.map_xy2gps(S132,T132,"utm",$Y$4:$Z$8,$AA$4:$AB$8)</f>
        <v>45.066693147053087</v>
      </c>
      <c r="AD133">
        <v>41.694924575699865</v>
      </c>
    </row>
    <row r="134" spans="16:30" ht="22.5" customHeight="1" x14ac:dyDescent="0.15">
      <c r="P134" s="17">
        <v>4320</v>
      </c>
      <c r="Q134" s="17">
        <v>0</v>
      </c>
      <c r="R134" s="17">
        <v>90</v>
      </c>
      <c r="S134" s="17">
        <f t="array" ref="S134:U134">_xll.hdm_k2xy_data(P134,Q134,R134,$G$3:$N$75)</f>
        <v>4615890.34</v>
      </c>
      <c r="T134" s="17">
        <v>505585.72399999999</v>
      </c>
      <c r="U134" s="17">
        <v>1.9964103789315093</v>
      </c>
      <c r="AC134">
        <f t="array" ref="AC134:AD134">_xll.map_xy2gps(S133,T133,"utm",$Y$4:$Z$8,$AA$4:$AB$8)</f>
        <v>45.066911980532971</v>
      </c>
      <c r="AD134">
        <v>41.694850076505766</v>
      </c>
    </row>
    <row r="135" spans="16:30" ht="22.5" customHeight="1" x14ac:dyDescent="0.15">
      <c r="P135" s="17">
        <v>4340</v>
      </c>
      <c r="Q135" s="17">
        <v>0</v>
      </c>
      <c r="R135" s="17">
        <v>90</v>
      </c>
      <c r="S135" s="17">
        <f t="array" ref="S135:U135">_xll.hdm_k2xy_data(P135,Q135,R135,$G$3:$N$75)</f>
        <v>4615882.0820000004</v>
      </c>
      <c r="T135" s="17">
        <v>505603.94</v>
      </c>
      <c r="U135" s="17">
        <v>1.9964103789315093</v>
      </c>
      <c r="AC135">
        <f t="array" ref="AC135:AD135">_xll.map_xy2gps(S134,T134,"utm",$Y$4:$Z$8,$AA$4:$AB$8)</f>
        <v>45.067130801480545</v>
      </c>
      <c r="AD135">
        <v>41.694775567894283</v>
      </c>
    </row>
    <row r="136" spans="16:30" ht="22.5" customHeight="1" x14ac:dyDescent="0.15">
      <c r="P136" s="17">
        <v>4360</v>
      </c>
      <c r="Q136" s="17">
        <v>0</v>
      </c>
      <c r="R136" s="17">
        <v>90</v>
      </c>
      <c r="S136" s="17">
        <f t="array" ref="S136:U136">_xll.hdm_k2xy_data(P136,Q136,R136,$G$3:$N$75)</f>
        <v>4615873.8250000002</v>
      </c>
      <c r="T136" s="17">
        <v>505622.15600000002</v>
      </c>
      <c r="U136" s="17">
        <v>1.9964103789315093</v>
      </c>
      <c r="AC136">
        <f t="array" ref="AC136:AD136">_xll.map_xy2gps(S135,T135,"utm",$Y$4:$Z$8,$AA$4:$AB$8)</f>
        <v>45.067349633940054</v>
      </c>
      <c r="AD136">
        <v>41.694701058858527</v>
      </c>
    </row>
    <row r="137" spans="16:30" ht="22.5" customHeight="1" x14ac:dyDescent="0.15">
      <c r="P137" s="17">
        <v>4380</v>
      </c>
      <c r="Q137" s="17">
        <v>0</v>
      </c>
      <c r="R137" s="17">
        <v>90</v>
      </c>
      <c r="S137" s="17">
        <f t="array" ref="S137:U137">_xll.hdm_k2xy_data(P137,Q137,R137,$G$3:$N$75)</f>
        <v>4615865.5669999998</v>
      </c>
      <c r="T137" s="17">
        <v>505640.37099999998</v>
      </c>
      <c r="U137" s="17">
        <v>1.9964103789315093</v>
      </c>
      <c r="AC137">
        <f t="array" ref="AC137:AD137">_xll.map_xy2gps(S136,T136,"utm",$Y$4:$Z$8,$AA$4:$AB$8)</f>
        <v>45.067568465903449</v>
      </c>
      <c r="AD137">
        <v>41.694626558412637</v>
      </c>
    </row>
    <row r="138" spans="16:30" ht="22.5" customHeight="1" x14ac:dyDescent="0.15">
      <c r="P138" s="17">
        <v>4400</v>
      </c>
      <c r="Q138" s="17">
        <v>0</v>
      </c>
      <c r="R138" s="17">
        <v>90</v>
      </c>
      <c r="S138" s="17">
        <f t="array" ref="S138:U138">_xll.hdm_k2xy_data(P138,Q138,R138,$G$3:$N$75)</f>
        <v>4615857.3099999996</v>
      </c>
      <c r="T138" s="17">
        <v>505658.587</v>
      </c>
      <c r="U138" s="17">
        <v>1.9964103789315093</v>
      </c>
      <c r="AC138">
        <f t="array" ref="AC138:AD138">_xll.map_xy2gps(S137,T137,"utm",$Y$4:$Z$8,$AA$4:$AB$8)</f>
        <v>45.067787285334489</v>
      </c>
      <c r="AD138">
        <v>41.694552048549433</v>
      </c>
    </row>
    <row r="139" spans="16:30" ht="22.5" customHeight="1" x14ac:dyDescent="0.15">
      <c r="P139" s="17">
        <v>4420</v>
      </c>
      <c r="Q139" s="17">
        <v>0</v>
      </c>
      <c r="R139" s="17">
        <v>90</v>
      </c>
      <c r="S139" s="17">
        <f t="array" ref="S139:U139">_xll.hdm_k2xy_data(P139,Q139,R139,$G$3:$N$75)</f>
        <v>4615849.0520000001</v>
      </c>
      <c r="T139" s="17">
        <v>505676.80300000001</v>
      </c>
      <c r="U139" s="17">
        <v>1.9964103789315093</v>
      </c>
      <c r="AC139">
        <f t="array" ref="AC139:AD139">_xll.map_xy2gps(S138,T138,"utm",$Y$4:$Z$8,$AA$4:$AB$8)</f>
        <v>45.068006116286902</v>
      </c>
      <c r="AD139">
        <v>41.69447754726901</v>
      </c>
    </row>
    <row r="140" spans="16:30" ht="22.5" customHeight="1" x14ac:dyDescent="0.15">
      <c r="P140" s="17">
        <v>4440</v>
      </c>
      <c r="Q140" s="17">
        <v>0</v>
      </c>
      <c r="R140" s="17">
        <v>90</v>
      </c>
      <c r="S140" s="17">
        <f t="array" ref="S140:U140">_xll.hdm_k2xy_data(P140,Q140,R140,$G$3:$N$75)</f>
        <v>4615840.7939999998</v>
      </c>
      <c r="T140" s="17">
        <v>505695.01799999998</v>
      </c>
      <c r="U140" s="17">
        <v>1.9964103789315093</v>
      </c>
      <c r="AC140">
        <f t="array" ref="AC140:AD140">_xll.map_xy2gps(S139,T139,"utm",$Y$4:$Z$8,$AA$4:$AB$8)</f>
        <v>45.068224946724314</v>
      </c>
      <c r="AD140">
        <v>41.694403036564218</v>
      </c>
    </row>
    <row r="141" spans="16:30" ht="22.5" customHeight="1" x14ac:dyDescent="0.15">
      <c r="P141" s="17">
        <v>4460</v>
      </c>
      <c r="Q141" s="17">
        <v>0</v>
      </c>
      <c r="R141" s="17">
        <v>90</v>
      </c>
      <c r="S141" s="17">
        <f t="array" ref="S141:U141">_xll.hdm_k2xy_data(P141,Q141,R141,$G$3:$N$75)</f>
        <v>4615832.5369999995</v>
      </c>
      <c r="T141" s="17">
        <v>505713.234</v>
      </c>
      <c r="U141" s="17">
        <v>1.9964103789315093</v>
      </c>
      <c r="AC141">
        <f t="array" ref="AC141:AD141">_xll.map_xy2gps(S140,T140,"utm",$Y$4:$Z$8,$AA$4:$AB$8)</f>
        <v>45.068443764638801</v>
      </c>
      <c r="AD141">
        <v>41.694328525449286</v>
      </c>
    </row>
    <row r="142" spans="16:30" ht="22.5" customHeight="1" x14ac:dyDescent="0.15">
      <c r="P142" s="17">
        <v>4480</v>
      </c>
      <c r="Q142" s="17">
        <v>0</v>
      </c>
      <c r="R142" s="17">
        <v>90</v>
      </c>
      <c r="S142" s="17">
        <f t="array" ref="S142:U142">_xll.hdm_k2xy_data(P142,Q142,R142,$G$3:$N$75)</f>
        <v>4615824.2790000001</v>
      </c>
      <c r="T142" s="17">
        <v>505731.45</v>
      </c>
      <c r="U142" s="17">
        <v>1.9964103789315093</v>
      </c>
      <c r="AC142">
        <f t="array" ref="AC142:AD142">_xll.map_xy2gps(S141,T141,"utm",$Y$4:$Z$8,$AA$4:$AB$8)</f>
        <v>45.068662594074702</v>
      </c>
      <c r="AD142">
        <v>41.694254022917129</v>
      </c>
    </row>
    <row r="143" spans="16:30" ht="22.5" customHeight="1" x14ac:dyDescent="0.15">
      <c r="P143" s="17">
        <v>4500</v>
      </c>
      <c r="Q143" s="17">
        <v>0</v>
      </c>
      <c r="R143" s="17">
        <v>90</v>
      </c>
      <c r="S143" s="17">
        <f t="array" ref="S143:U143">_xll.hdm_k2xy_data(P143,Q143,R143,$G$3:$N$75)</f>
        <v>4615816.0219999999</v>
      </c>
      <c r="T143" s="17">
        <v>505749.66600000003</v>
      </c>
      <c r="U143" s="17">
        <v>1.9964103789315093</v>
      </c>
      <c r="AC143">
        <f t="array" ref="AC143:AD143">_xll.map_xy2gps(S142,T142,"utm",$Y$4:$Z$8,$AA$4:$AB$8)</f>
        <v>45.068881422995517</v>
      </c>
      <c r="AD143">
        <v>41.694179510960559</v>
      </c>
    </row>
    <row r="144" spans="16:30" ht="22.5" customHeight="1" x14ac:dyDescent="0.15">
      <c r="P144" s="17">
        <v>4520</v>
      </c>
      <c r="Q144" s="17">
        <v>0</v>
      </c>
      <c r="R144" s="17">
        <v>90</v>
      </c>
      <c r="S144" s="17">
        <f t="array" ref="S144:U144">_xll.hdm_k2xy_data(P144,Q144,R144,$G$3:$N$75)</f>
        <v>4615807.7640000004</v>
      </c>
      <c r="T144" s="17">
        <v>505767.88099999999</v>
      </c>
      <c r="U144" s="17">
        <v>1.9964103789315093</v>
      </c>
      <c r="AC144">
        <f t="array" ref="AC144:AD144">_xll.map_xy2gps(S143,T143,"utm",$Y$4:$Z$8,$AA$4:$AB$8)</f>
        <v>45.069100251420409</v>
      </c>
      <c r="AD144">
        <v>41.69410500759389</v>
      </c>
    </row>
    <row r="145" spans="16:30" ht="22.5" customHeight="1" x14ac:dyDescent="0.15">
      <c r="P145" s="17">
        <v>4540</v>
      </c>
      <c r="Q145" s="17">
        <v>0</v>
      </c>
      <c r="R145" s="17">
        <v>90</v>
      </c>
      <c r="S145" s="17">
        <f t="array" ref="S145:U145">_xll.hdm_k2xy_data(P145,Q145,R145,$G$3:$N$75)</f>
        <v>4615799.5060000001</v>
      </c>
      <c r="T145" s="17">
        <v>505786.09700000001</v>
      </c>
      <c r="U145" s="17">
        <v>1.9964103789315093</v>
      </c>
      <c r="AC145">
        <f t="array" ref="AC145:AD145">_xll.map_xy2gps(S144,T144,"utm",$Y$4:$Z$8,$AA$4:$AB$8)</f>
        <v>45.069319067312811</v>
      </c>
      <c r="AD145">
        <v>41.694030494810079</v>
      </c>
    </row>
    <row r="146" spans="16:30" ht="22.5" customHeight="1" x14ac:dyDescent="0.15">
      <c r="P146" s="17">
        <v>4560</v>
      </c>
      <c r="Q146" s="17">
        <v>0</v>
      </c>
      <c r="R146" s="17">
        <v>90</v>
      </c>
      <c r="S146" s="17">
        <f t="array" ref="S146:U146">_xll.hdm_k2xy_data(P146,Q146,R146,$G$3:$N$75)</f>
        <v>4615791.2489999998</v>
      </c>
      <c r="T146" s="17">
        <v>505804.31300000002</v>
      </c>
      <c r="U146" s="17">
        <v>1.9964103789315093</v>
      </c>
      <c r="AC146">
        <f t="array" ref="AC146:AD146">_xll.map_xy2gps(S145,T145,"utm",$Y$4:$Z$8,$AA$4:$AB$8)</f>
        <v>45.069537894717001</v>
      </c>
      <c r="AD146">
        <v>41.693955981601782</v>
      </c>
    </row>
    <row r="147" spans="16:30" ht="22.5" customHeight="1" x14ac:dyDescent="0.15">
      <c r="P147" s="17">
        <v>4580</v>
      </c>
      <c r="Q147" s="17">
        <v>0</v>
      </c>
      <c r="R147" s="17">
        <v>90</v>
      </c>
      <c r="S147" s="17">
        <f t="array" ref="S147:U147">_xll.hdm_k2xy_data(P147,Q147,R147,$G$3:$N$75)</f>
        <v>4615782.9910000004</v>
      </c>
      <c r="T147" s="17">
        <v>505822.52799999999</v>
      </c>
      <c r="U147" s="17">
        <v>1.9964103789315093</v>
      </c>
      <c r="AC147">
        <f t="array" ref="AC147:AD147">_xll.map_xy2gps(S146,T146,"utm",$Y$4:$Z$8,$AA$4:$AB$8)</f>
        <v>45.06975672162536</v>
      </c>
      <c r="AD147">
        <v>41.693881476983407</v>
      </c>
    </row>
    <row r="148" spans="16:30" ht="22.5" customHeight="1" x14ac:dyDescent="0.15">
      <c r="P148" s="17">
        <v>4600</v>
      </c>
      <c r="Q148" s="17">
        <v>0</v>
      </c>
      <c r="R148" s="17">
        <v>90</v>
      </c>
      <c r="S148" s="17">
        <f t="array" ref="S148:U148">_xll.hdm_k2xy_data(P148,Q148,R148,$G$3:$N$75)</f>
        <v>4615774.7340000002</v>
      </c>
      <c r="T148" s="17">
        <v>505840.74400000001</v>
      </c>
      <c r="U148" s="17">
        <v>1.9964103789315093</v>
      </c>
      <c r="AC148">
        <f t="array" ref="AC148:AD148">_xll.map_xy2gps(S147,T147,"utm",$Y$4:$Z$8,$AA$4:$AB$8)</f>
        <v>45.069975536001174</v>
      </c>
      <c r="AD148">
        <v>41.693806962947967</v>
      </c>
    </row>
    <row r="149" spans="16:30" ht="22.5" customHeight="1" x14ac:dyDescent="0.15">
      <c r="P149" s="17">
        <v>4620</v>
      </c>
      <c r="Q149" s="17">
        <v>0</v>
      </c>
      <c r="R149" s="17">
        <v>90</v>
      </c>
      <c r="S149" s="17">
        <f t="array" ref="S149:U149">_xll.hdm_k2xy_data(P149,Q149,R149,$G$3:$N$75)</f>
        <v>4615766.4759999998</v>
      </c>
      <c r="T149" s="17">
        <v>505858.96</v>
      </c>
      <c r="U149" s="17">
        <v>1.9964103789315093</v>
      </c>
      <c r="AC149">
        <f t="array" ref="AC149:AD149">_xll.map_xy2gps(S148,T148,"utm",$Y$4:$Z$8,$AA$4:$AB$8)</f>
        <v>45.070194361898523</v>
      </c>
      <c r="AD149">
        <v>41.69373245749513</v>
      </c>
    </row>
    <row r="150" spans="16:30" ht="22.5" customHeight="1" x14ac:dyDescent="0.15">
      <c r="P150" s="17">
        <v>4640</v>
      </c>
      <c r="Q150" s="17">
        <v>0</v>
      </c>
      <c r="R150" s="17">
        <v>90</v>
      </c>
      <c r="S150" s="17">
        <f t="array" ref="S150:U150">_xll.hdm_k2xy_data(P150,Q150,R150,$G$3:$N$75)</f>
        <v>4615758.2180000003</v>
      </c>
      <c r="T150" s="17">
        <v>505877.17599999998</v>
      </c>
      <c r="U150" s="17">
        <v>1.9964103789315093</v>
      </c>
      <c r="AC150">
        <f t="array" ref="AC150:AD150">_xll.map_xy2gps(S149,T149,"utm",$Y$4:$Z$8,$AA$4:$AB$8)</f>
        <v>45.070413187280536</v>
      </c>
      <c r="AD150">
        <v>41.693657942617918</v>
      </c>
    </row>
    <row r="151" spans="16:30" ht="22.5" customHeight="1" x14ac:dyDescent="0.15">
      <c r="P151" s="17">
        <v>4660</v>
      </c>
      <c r="Q151" s="17">
        <v>0</v>
      </c>
      <c r="R151" s="17">
        <v>90</v>
      </c>
      <c r="S151" s="17">
        <f t="array" ref="S151:U151">_xll.hdm_k2xy_data(P151,Q151,R151,$G$3:$N$75)</f>
        <v>4615749.9589999998</v>
      </c>
      <c r="T151" s="17">
        <v>505895.391</v>
      </c>
      <c r="U151" s="17">
        <v>1.9969109900281354</v>
      </c>
      <c r="AC151">
        <f t="array" ref="AC151:AD151">_xll.map_xy2gps(S150,T150,"utm",$Y$4:$Z$8,$AA$4:$AB$8)</f>
        <v>45.070632012156992</v>
      </c>
      <c r="AD151">
        <v>41.693583427323475</v>
      </c>
    </row>
    <row r="152" spans="16:30" ht="22.5" customHeight="1" x14ac:dyDescent="0.15">
      <c r="P152" s="17">
        <v>4680</v>
      </c>
      <c r="Q152" s="17">
        <v>0</v>
      </c>
      <c r="R152" s="17">
        <v>90</v>
      </c>
      <c r="S152" s="17">
        <f t="array" ref="S152:U152">_xll.hdm_k2xy_data(P152,Q152,R152,$G$3:$N$75)</f>
        <v>4615741.6730000004</v>
      </c>
      <c r="T152" s="17">
        <v>505913.59399999998</v>
      </c>
      <c r="U152" s="17">
        <v>1.9993049402331005</v>
      </c>
      <c r="AC152">
        <f t="array" ref="AC152:AD152">_xll.map_xy2gps(S151,T151,"utm",$Y$4:$Z$8,$AA$4:$AB$8)</f>
        <v>45.070850824500774</v>
      </c>
      <c r="AD152">
        <v>41.693508902612074</v>
      </c>
    </row>
    <row r="153" spans="16:30" ht="22.5" customHeight="1" x14ac:dyDescent="0.15">
      <c r="P153" s="17">
        <v>4700</v>
      </c>
      <c r="Q153" s="17">
        <v>0</v>
      </c>
      <c r="R153" s="17">
        <v>90</v>
      </c>
      <c r="S153" s="17">
        <f t="array" ref="S153:U153">_xll.hdm_k2xy_data(P153,Q153,R153,$G$3:$N$75)</f>
        <v>4615733.3260000004</v>
      </c>
      <c r="T153" s="17">
        <v>505931.76899999997</v>
      </c>
      <c r="U153" s="17">
        <v>2.0036741763273778</v>
      </c>
      <c r="AC153">
        <f t="array" ref="AC153:AD153">_xll.map_xy2gps(S152,T152,"utm",$Y$4:$Z$8,$AA$4:$AB$8)</f>
        <v>45.07106949186479</v>
      </c>
      <c r="AD153">
        <v>41.6934341343798</v>
      </c>
    </row>
    <row r="154" spans="16:30" ht="22.5" customHeight="1" x14ac:dyDescent="0.15">
      <c r="P154" s="17">
        <v>4720</v>
      </c>
      <c r="Q154" s="17">
        <v>0</v>
      </c>
      <c r="R154" s="17">
        <v>90</v>
      </c>
      <c r="S154" s="17">
        <f t="array" ref="S154:U154">_xll.hdm_k2xy_data(P154,Q154,R154,$G$3:$N$75)</f>
        <v>4615724.8820000002</v>
      </c>
      <c r="T154" s="17">
        <v>505949.89899999998</v>
      </c>
      <c r="U154" s="17">
        <v>2.0100186983109669</v>
      </c>
      <c r="AC154">
        <f t="array" ref="AC154:AD154">_xll.map_xy2gps(S153,T153,"utm",$Y$4:$Z$8,$AA$4:$AB$8)</f>
        <v>45.071287821633881</v>
      </c>
      <c r="AD154">
        <v>41.693358816503803</v>
      </c>
    </row>
    <row r="155" spans="16:30" ht="22.5" customHeight="1" x14ac:dyDescent="0.15">
      <c r="P155" s="17">
        <v>4740</v>
      </c>
      <c r="Q155" s="17">
        <v>0</v>
      </c>
      <c r="R155" s="17">
        <v>90</v>
      </c>
      <c r="S155" s="17">
        <f t="array" ref="S155:U155">_xll.hdm_k2xy_data(P155,Q155,R155,$G$3:$N$75)</f>
        <v>4615716.3049999997</v>
      </c>
      <c r="T155" s="17">
        <v>505967.96600000001</v>
      </c>
      <c r="U155" s="17">
        <v>2.0183385061838681</v>
      </c>
      <c r="AC155">
        <f t="array" ref="AC155:AD155">_xll.map_xy2gps(S154,T154,"utm",$Y$4:$Z$8,$AA$4:$AB$8)</f>
        <v>45.071505609152538</v>
      </c>
      <c r="AD155">
        <v>41.693282624855918</v>
      </c>
    </row>
    <row r="156" spans="16:30" ht="22.5" customHeight="1" x14ac:dyDescent="0.15">
      <c r="P156" s="17">
        <v>4760</v>
      </c>
      <c r="Q156" s="17">
        <v>0</v>
      </c>
      <c r="R156" s="17">
        <v>90</v>
      </c>
      <c r="S156" s="17">
        <f t="array" ref="S156:U156">_xll.hdm_k2xy_data(P156,Q156,R156,$G$3:$N$75)</f>
        <v>4615707.5599999996</v>
      </c>
      <c r="T156" s="17">
        <v>505985.95299999998</v>
      </c>
      <c r="U156" s="17">
        <v>2.0286335999460818</v>
      </c>
      <c r="AC156">
        <f t="array" ref="AC156:AD156">_xll.map_xy2gps(S155,T155,"utm",$Y$4:$Z$8,$AA$4:$AB$8)</f>
        <v>45.071722637744692</v>
      </c>
      <c r="AD156">
        <v>41.693205235317009</v>
      </c>
    </row>
    <row r="157" spans="16:30" ht="22.5" customHeight="1" x14ac:dyDescent="0.15">
      <c r="P157" s="17">
        <v>4780</v>
      </c>
      <c r="Q157" s="17">
        <v>0</v>
      </c>
      <c r="R157" s="17">
        <v>90</v>
      </c>
      <c r="S157" s="17">
        <f t="array" ref="S157:U157">_xll.hdm_k2xy_data(P157,Q157,R157,$G$3:$N$75)</f>
        <v>4615698.6129999999</v>
      </c>
      <c r="T157" s="17">
        <v>506003.84</v>
      </c>
      <c r="U157" s="17">
        <v>2.0409039795976076</v>
      </c>
      <c r="AC157">
        <f t="array" ref="AC157:AD157">_xll.map_xy2gps(S156,T156,"utm",$Y$4:$Z$8,$AA$4:$AB$8)</f>
        <v>45.071938702758253</v>
      </c>
      <c r="AD157">
        <v>41.693126332769154</v>
      </c>
    </row>
    <row r="158" spans="16:30" ht="22.5" customHeight="1" x14ac:dyDescent="0.15">
      <c r="P158" s="17">
        <v>4800</v>
      </c>
      <c r="Q158" s="17">
        <v>0</v>
      </c>
      <c r="R158" s="17">
        <v>90</v>
      </c>
      <c r="S158" s="17">
        <f t="array" ref="S158:U158">_xll.hdm_k2xy_data(P158,Q158,R158,$G$3:$N$75)</f>
        <v>4615689.43</v>
      </c>
      <c r="T158" s="17">
        <v>506021.60700000002</v>
      </c>
      <c r="U158" s="17">
        <v>2.0551496451384459</v>
      </c>
      <c r="AC158">
        <f t="array" ref="AC158:AD158">_xll.map_xy2gps(S157,T157,"utm",$Y$4:$Z$8,$AA$4:$AB$8)</f>
        <v>45.072153563496663</v>
      </c>
      <c r="AD158">
        <v>41.693045611125697</v>
      </c>
    </row>
    <row r="159" spans="16:30" ht="22.5" customHeight="1" x14ac:dyDescent="0.15">
      <c r="P159" s="17">
        <v>4820</v>
      </c>
      <c r="Q159" s="17">
        <v>0</v>
      </c>
      <c r="R159" s="17">
        <v>90</v>
      </c>
      <c r="S159" s="17">
        <f t="array" ref="S159:U159">_xll.hdm_k2xy_data(P159,Q159,R159,$G$3:$N$75)</f>
        <v>4615679.9819999998</v>
      </c>
      <c r="T159" s="17">
        <v>506039.234</v>
      </c>
      <c r="U159" s="17">
        <v>2.0705288378618176</v>
      </c>
      <c r="AC159">
        <f t="array" ref="AC159:AD159">_xll.map_xy2gps(S158,T158,"utm",$Y$4:$Z$8,$AA$4:$AB$8)</f>
        <v>45.072366979260686</v>
      </c>
      <c r="AD159">
        <v>41.692962764301768</v>
      </c>
    </row>
    <row r="160" spans="16:30" ht="22.5" customHeight="1" x14ac:dyDescent="0.15">
      <c r="P160" s="17">
        <v>4840</v>
      </c>
      <c r="Q160" s="17">
        <v>0</v>
      </c>
      <c r="R160" s="17">
        <v>90</v>
      </c>
      <c r="S160" s="17">
        <f t="array" ref="S160:U160">_xll.hdm_k2xy_data(P160,Q160,R160,$G$3:$N$75)</f>
        <v>4615670.2630000003</v>
      </c>
      <c r="T160" s="17">
        <v>506056.71399999998</v>
      </c>
      <c r="U160" s="17">
        <v>2.085913453246433</v>
      </c>
      <c r="AC160">
        <f t="array" ref="AC160:AD160">_xll.map_xy2gps(S159,T159,"utm",$Y$4:$Z$8,$AA$4:$AB$8)</f>
        <v>45.072578709399167</v>
      </c>
      <c r="AD160">
        <v>41.692877531249891</v>
      </c>
    </row>
    <row r="161" spans="16:30" ht="22.5" customHeight="1" x14ac:dyDescent="0.15">
      <c r="P161" s="17">
        <v>4860</v>
      </c>
      <c r="Q161" s="17">
        <v>0</v>
      </c>
      <c r="R161" s="17">
        <v>90</v>
      </c>
      <c r="S161" s="17">
        <f t="array" ref="S161:U161">_xll.hdm_k2xy_data(P161,Q161,R161,$G$3:$N$75)</f>
        <v>4615660.2769999998</v>
      </c>
      <c r="T161" s="17">
        <v>506074.04200000002</v>
      </c>
      <c r="U161" s="17">
        <v>2.1012980686310483</v>
      </c>
      <c r="AC161">
        <f t="array" ref="AC161:AD161">_xll.map_xy2gps(S160,T160,"utm",$Y$4:$Z$8,$AA$4:$AB$8)</f>
        <v>45.072788669714804</v>
      </c>
      <c r="AD161">
        <v>41.69278985798973</v>
      </c>
    </row>
    <row r="162" spans="16:30" ht="22.5" customHeight="1" x14ac:dyDescent="0.15">
      <c r="P162" s="17">
        <v>4880</v>
      </c>
      <c r="Q162" s="17">
        <v>0</v>
      </c>
      <c r="R162" s="17">
        <v>90</v>
      </c>
      <c r="S162" s="17">
        <f t="array" ref="S162:U162">_xll.hdm_k2xy_data(P162,Q162,R162,$G$3:$N$75)</f>
        <v>4615650.0250000004</v>
      </c>
      <c r="T162" s="17">
        <v>506091.21399999998</v>
      </c>
      <c r="U162" s="17">
        <v>2.1166826840156636</v>
      </c>
      <c r="AC162">
        <f t="array" ref="AC162:AD162">_xll.map_xy2gps(S161,T161,"utm",$Y$4:$Z$8,$AA$4:$AB$8)</f>
        <v>45.072996800146385</v>
      </c>
      <c r="AD162">
        <v>41.692699780597565</v>
      </c>
    </row>
    <row r="163" spans="16:30" ht="22.5" customHeight="1" x14ac:dyDescent="0.15">
      <c r="P163" s="17">
        <v>4900</v>
      </c>
      <c r="Q163" s="17">
        <v>0</v>
      </c>
      <c r="R163" s="17">
        <v>90</v>
      </c>
      <c r="S163" s="17">
        <f t="array" ref="S163:U163">_xll.hdm_k2xy_data(P163,Q163,R163,$G$3:$N$75)</f>
        <v>4615639.5109999999</v>
      </c>
      <c r="T163" s="17">
        <v>506108.22700000001</v>
      </c>
      <c r="U163" s="17">
        <v>2.1320672994002789</v>
      </c>
      <c r="AC163">
        <f t="array" ref="AC163:AD163">_xll.map_xy2gps(S162,T162,"utm",$Y$4:$Z$8,$AA$4:$AB$8)</f>
        <v>45.073203052620343</v>
      </c>
      <c r="AD163">
        <v>41.692607308121033</v>
      </c>
    </row>
    <row r="164" spans="16:30" ht="22.5" customHeight="1" x14ac:dyDescent="0.15">
      <c r="P164" s="17">
        <v>4920</v>
      </c>
      <c r="Q164" s="17">
        <v>0</v>
      </c>
      <c r="R164" s="17">
        <v>90</v>
      </c>
      <c r="S164" s="17">
        <f t="array" ref="S164:U164">_xll.hdm_k2xy_data(P164,Q164,R164,$G$3:$N$75)</f>
        <v>4615628.7359999996</v>
      </c>
      <c r="T164" s="17">
        <v>506125.076</v>
      </c>
      <c r="U164" s="17">
        <v>2.1474519147848947</v>
      </c>
      <c r="AC164">
        <f t="array" ref="AC164:AD164">_xll.map_xy2gps(S163,T163,"utm",$Y$4:$Z$8,$AA$4:$AB$8)</f>
        <v>45.073407391111687</v>
      </c>
      <c r="AD164">
        <v>41.692512476621737</v>
      </c>
    </row>
    <row r="165" spans="16:30" ht="22.5" customHeight="1" x14ac:dyDescent="0.15">
      <c r="P165" s="17">
        <v>4940</v>
      </c>
      <c r="Q165" s="17">
        <v>0</v>
      </c>
      <c r="R165" s="17">
        <v>90</v>
      </c>
      <c r="S165" s="17">
        <f t="array" ref="S165:U165">_xll.hdm_k2xy_data(P165,Q165,R165,$G$3:$N$75)</f>
        <v>4615617.7029999997</v>
      </c>
      <c r="T165" s="17">
        <v>506141.75799999997</v>
      </c>
      <c r="U165" s="17">
        <v>2.1628365301695101</v>
      </c>
      <c r="AC165">
        <f t="array" ref="AC165:AD165">_xll.map_xy2gps(S164,T164,"utm",$Y$4:$Z$8,$AA$4:$AB$8)</f>
        <v>45.073609755531635</v>
      </c>
      <c r="AD165">
        <v>41.692415295155399</v>
      </c>
    </row>
    <row r="166" spans="16:30" ht="22.5" customHeight="1" x14ac:dyDescent="0.15">
      <c r="P166" s="17">
        <v>4960</v>
      </c>
      <c r="Q166" s="17">
        <v>0</v>
      </c>
      <c r="R166" s="17">
        <v>90</v>
      </c>
      <c r="S166" s="17">
        <f t="array" ref="S166:U166">_xll.hdm_k2xy_data(P166,Q166,R166,$G$3:$N$75)</f>
        <v>4615606.4139999999</v>
      </c>
      <c r="T166" s="17">
        <v>506158.26699999999</v>
      </c>
      <c r="U166" s="17">
        <v>2.1782211455541254</v>
      </c>
      <c r="AC166">
        <f t="array" ref="AC166:AD166">_xll.map_xy2gps(S165,T165,"utm",$Y$4:$Z$8,$AA$4:$AB$8)</f>
        <v>45.073810109846939</v>
      </c>
      <c r="AD166">
        <v>41.692315790776902</v>
      </c>
    </row>
    <row r="167" spans="16:30" ht="22.5" customHeight="1" x14ac:dyDescent="0.15">
      <c r="P167" s="17">
        <v>4980</v>
      </c>
      <c r="Q167" s="17">
        <v>0</v>
      </c>
      <c r="R167" s="17">
        <v>90</v>
      </c>
      <c r="S167" s="17">
        <f t="array" ref="S167:U167">_xll.hdm_k2xy_data(P167,Q167,R167,$G$3:$N$75)</f>
        <v>4615594.8729999997</v>
      </c>
      <c r="T167" s="17">
        <v>506174.60100000002</v>
      </c>
      <c r="U167" s="17">
        <v>2.1936057609387407</v>
      </c>
      <c r="AC167">
        <f t="array" ref="AC167:AD167">_xll.map_xy2gps(S166,T166,"utm",$Y$4:$Z$8,$AA$4:$AB$8)</f>
        <v>45.074008381964063</v>
      </c>
      <c r="AD167">
        <v>41.692213981557408</v>
      </c>
    </row>
    <row r="168" spans="16:30" ht="22.5" customHeight="1" x14ac:dyDescent="0.15">
      <c r="P168" s="17">
        <v>5000</v>
      </c>
      <c r="Q168" s="17">
        <v>0</v>
      </c>
      <c r="R168" s="17">
        <v>90</v>
      </c>
      <c r="S168" s="17">
        <f t="array" ref="S168:U168">_xll.hdm_k2xy_data(P168,Q168,R168,$G$3:$N$75)</f>
        <v>4615583.0829999996</v>
      </c>
      <c r="T168" s="17">
        <v>506190.75599999999</v>
      </c>
      <c r="U168" s="17">
        <v>2.208990376323356</v>
      </c>
      <c r="AC168">
        <f t="array" ref="AC168:AD168">_xll.map_xy2gps(S167,T167,"utm",$Y$4:$Z$8,$AA$4:$AB$8)</f>
        <v>45.07420454787912</v>
      </c>
      <c r="AD168">
        <v>41.692109903551668</v>
      </c>
    </row>
    <row r="169" spans="16:30" ht="22.5" customHeight="1" x14ac:dyDescent="0.15">
      <c r="P169" s="17">
        <v>5020</v>
      </c>
      <c r="Q169" s="17">
        <v>0</v>
      </c>
      <c r="R169" s="17">
        <v>90</v>
      </c>
      <c r="S169" s="17">
        <f t="array" ref="S169:U169">_xll.hdm_k2xy_data(P169,Q169,R169,$G$3:$N$75)</f>
        <v>4615571.0449999999</v>
      </c>
      <c r="T169" s="17">
        <v>506206.72700000001</v>
      </c>
      <c r="U169" s="17">
        <v>2.2243749917079714</v>
      </c>
      <c r="AC169">
        <f t="array" ref="AC169:AD169">_xll.map_xy2gps(S168,T168,"utm",$Y$4:$Z$8,$AA$4:$AB$8)</f>
        <v>45.074398559545024</v>
      </c>
      <c r="AD169">
        <v>41.692003583822853</v>
      </c>
    </row>
    <row r="170" spans="16:30" ht="22.5" customHeight="1" x14ac:dyDescent="0.15">
      <c r="P170" s="17">
        <v>5040</v>
      </c>
      <c r="Q170" s="17">
        <v>0</v>
      </c>
      <c r="R170" s="17">
        <v>90</v>
      </c>
      <c r="S170" s="17">
        <f t="array" ref="S170:U170">_xll.hdm_k2xy_data(P170,Q170,R170,$G$3:$N$75)</f>
        <v>4615558.7620000001</v>
      </c>
      <c r="T170" s="17">
        <v>506222.511</v>
      </c>
      <c r="U170" s="17">
        <v>2.2397596070925867</v>
      </c>
      <c r="AC170">
        <f t="array" ref="AC170:AD170">_xll.map_xy2gps(S169,T169,"utm",$Y$4:$Z$8,$AA$4:$AB$8)</f>
        <v>45.074590356878041</v>
      </c>
      <c r="AD170">
        <v>41.691895031427912</v>
      </c>
    </row>
    <row r="171" spans="16:30" ht="22.5" customHeight="1" x14ac:dyDescent="0.15">
      <c r="P171" s="17">
        <v>5060</v>
      </c>
      <c r="Q171" s="17">
        <v>0</v>
      </c>
      <c r="R171" s="17">
        <v>90</v>
      </c>
      <c r="S171" s="17">
        <f t="array" ref="S171:U171">_xll.hdm_k2xy_data(P171,Q171,R171,$G$3:$N$75)</f>
        <v>4615546.2390000001</v>
      </c>
      <c r="T171" s="17">
        <v>506238.10399999999</v>
      </c>
      <c r="U171" s="17">
        <v>2.255144222477202</v>
      </c>
      <c r="AC171">
        <f t="array" ref="AC171:AD171">_xll.map_xy2gps(S170,T170,"utm",$Y$4:$Z$8,$AA$4:$AB$8)</f>
        <v>45.074779903850057</v>
      </c>
      <c r="AD171">
        <v>41.691784273422741</v>
      </c>
    </row>
    <row r="172" spans="16:30" ht="22.5" customHeight="1" x14ac:dyDescent="0.15">
      <c r="P172" s="17">
        <v>5080</v>
      </c>
      <c r="Q172" s="17">
        <v>0</v>
      </c>
      <c r="R172" s="17">
        <v>90</v>
      </c>
      <c r="S172" s="17">
        <f t="array" ref="S172:U172">_xll.hdm_k2xy_data(P172,Q172,R172,$G$3:$N$75)</f>
        <v>4615533.477</v>
      </c>
      <c r="T172" s="17">
        <v>506253.50300000003</v>
      </c>
      <c r="U172" s="17">
        <v>2.2705288378618178</v>
      </c>
      <c r="AC172">
        <f t="array" ref="AC172:AD172">_xll.map_xy2gps(S171,T171,"utm",$Y$4:$Z$8,$AA$4:$AB$8)</f>
        <v>45.074967152438035</v>
      </c>
      <c r="AD172">
        <v>41.691671354885372</v>
      </c>
    </row>
    <row r="173" spans="16:30" ht="22.5" customHeight="1" x14ac:dyDescent="0.15">
      <c r="P173" s="17">
        <v>5100</v>
      </c>
      <c r="Q173" s="17">
        <v>0</v>
      </c>
      <c r="R173" s="17">
        <v>90</v>
      </c>
      <c r="S173" s="17">
        <f t="array" ref="S173:U173">_xll.hdm_k2xy_data(P173,Q173,R173,$G$3:$N$75)</f>
        <v>4615520.4790000003</v>
      </c>
      <c r="T173" s="17">
        <v>506268.70299999998</v>
      </c>
      <c r="U173" s="17">
        <v>2.2859134532464331</v>
      </c>
      <c r="AC173">
        <f t="array" ref="AC173:AD173">_xll.map_xy2gps(S172,T172,"utm",$Y$4:$Z$8,$AA$4:$AB$8)</f>
        <v>45.075152066595173</v>
      </c>
      <c r="AD173">
        <v>41.691556284857654</v>
      </c>
    </row>
    <row r="174" spans="16:30" ht="22.5" customHeight="1" x14ac:dyDescent="0.15">
      <c r="P174" s="17">
        <v>5120</v>
      </c>
      <c r="Q174" s="17">
        <v>0</v>
      </c>
      <c r="R174" s="17">
        <v>90</v>
      </c>
      <c r="S174" s="17">
        <f t="array" ref="S174:U174">_xll.hdm_k2xy_data(P174,Q174,R174,$G$3:$N$75)</f>
        <v>4615507.2489999998</v>
      </c>
      <c r="T174" s="17">
        <v>506283.70199999999</v>
      </c>
      <c r="U174" s="17">
        <v>2.3012980686310485</v>
      </c>
      <c r="AC174">
        <f t="array" ref="AC174:AD174">_xll.map_xy2gps(S173,T173,"utm",$Y$4:$Z$8,$AA$4:$AB$8)</f>
        <v>45.075334586262841</v>
      </c>
      <c r="AD174">
        <v>41.691439090411563</v>
      </c>
    </row>
    <row r="175" spans="16:30" ht="22.5" customHeight="1" x14ac:dyDescent="0.15">
      <c r="P175" s="17">
        <v>5140</v>
      </c>
      <c r="Q175" s="17">
        <v>0</v>
      </c>
      <c r="R175" s="17">
        <v>90</v>
      </c>
      <c r="S175" s="17">
        <f t="array" ref="S175:U175">_xll.hdm_k2xy_data(P175,Q175,R175,$G$3:$N$75)</f>
        <v>4615493.79</v>
      </c>
      <c r="T175" s="17">
        <v>506298.49599999998</v>
      </c>
      <c r="U175" s="17">
        <v>2.3166826840156638</v>
      </c>
      <c r="AC175">
        <f t="array" ref="AC175:AD175">_xll.map_xy2gps(S174,T174,"utm",$Y$4:$Z$8,$AA$4:$AB$8)</f>
        <v>45.07551468744461</v>
      </c>
      <c r="AD175">
        <v>41.691319807602731</v>
      </c>
    </row>
    <row r="176" spans="16:30" ht="22.5" customHeight="1" x14ac:dyDescent="0.15">
      <c r="P176" s="17">
        <v>5160</v>
      </c>
      <c r="Q176" s="17">
        <v>0</v>
      </c>
      <c r="R176" s="17">
        <v>90</v>
      </c>
      <c r="S176" s="17">
        <f t="array" ref="S176:U176">_xll.hdm_k2xy_data(P176,Q176,R176,$G$3:$N$75)</f>
        <v>4615480.1059999997</v>
      </c>
      <c r="T176" s="17">
        <v>506313.08100000001</v>
      </c>
      <c r="U176" s="17">
        <v>2.3320672994002791</v>
      </c>
      <c r="AC176">
        <f t="array" ref="AC176:AD176">_xll.map_xy2gps(S175,T175,"utm",$Y$4:$Z$8,$AA$4:$AB$8)</f>
        <v>45.075692322100949</v>
      </c>
      <c r="AD176">
        <v>41.69119846349551</v>
      </c>
    </row>
    <row r="177" spans="16:30" ht="22.5" customHeight="1" x14ac:dyDescent="0.15">
      <c r="P177" s="17">
        <v>5180</v>
      </c>
      <c r="Q177" s="17">
        <v>0</v>
      </c>
      <c r="R177" s="17">
        <v>90</v>
      </c>
      <c r="S177" s="17">
        <f t="array" ref="S177:U177">_xll.hdm_k2xy_data(P177,Q177,R177,$G$3:$N$75)</f>
        <v>4615466.1979999999</v>
      </c>
      <c r="T177" s="17">
        <v>506327.45299999998</v>
      </c>
      <c r="U177" s="17">
        <v>2.3474519147848945</v>
      </c>
      <c r="AC177">
        <f t="array" ref="AC177:AD177">_xll.map_xy2gps(S176,T176,"utm",$Y$4:$Z$8,$AA$4:$AB$8)</f>
        <v>45.075867442204029</v>
      </c>
      <c r="AD177">
        <v>41.691075094161519</v>
      </c>
    </row>
    <row r="178" spans="16:30" ht="22.5" customHeight="1" x14ac:dyDescent="0.15">
      <c r="P178" s="17">
        <v>5200</v>
      </c>
      <c r="Q178" s="17">
        <v>0</v>
      </c>
      <c r="R178" s="17">
        <v>90</v>
      </c>
      <c r="S178" s="17">
        <f t="array" ref="S178:U178">_xll.hdm_k2xy_data(P178,Q178,R178,$G$3:$N$75)</f>
        <v>4615452.0710000005</v>
      </c>
      <c r="T178" s="17">
        <v>506341.61</v>
      </c>
      <c r="U178" s="17">
        <v>2.3628365301695098</v>
      </c>
      <c r="AC178">
        <f t="array" ref="AC178:AD178">_xll.map_xy2gps(S177,T177,"utm",$Y$4:$Z$8,$AA$4:$AB$8)</f>
        <v>45.07603999969546</v>
      </c>
      <c r="AD178">
        <v>41.690949708651054</v>
      </c>
    </row>
    <row r="179" spans="16:30" ht="22.5" customHeight="1" x14ac:dyDescent="0.15">
      <c r="P179" s="17">
        <v>5220</v>
      </c>
      <c r="Q179" s="17">
        <v>0</v>
      </c>
      <c r="R179" s="17">
        <v>90</v>
      </c>
      <c r="S179" s="17">
        <f t="array" ref="S179:U179">_xll.hdm_k2xy_data(P179,Q179,R179,$G$3:$N$75)</f>
        <v>4615437.727</v>
      </c>
      <c r="T179" s="17">
        <v>506355.54800000001</v>
      </c>
      <c r="U179" s="17">
        <v>2.3782211455541251</v>
      </c>
      <c r="AC179">
        <f t="array" ref="AC179:AD179">_xll.map_xy2gps(S178,T178,"utm",$Y$4:$Z$8,$AA$4:$AB$8)</f>
        <v>45.076209970593737</v>
      </c>
      <c r="AD179">
        <v>41.690822352027205</v>
      </c>
    </row>
    <row r="180" spans="16:30" ht="22.5" customHeight="1" x14ac:dyDescent="0.15">
      <c r="P180" s="17">
        <v>5240</v>
      </c>
      <c r="Q180" s="17">
        <v>0</v>
      </c>
      <c r="R180" s="17">
        <v>90</v>
      </c>
      <c r="S180" s="17">
        <f t="array" ref="S180:U180">_xll.hdm_k2xy_data(P180,Q180,R180,$G$3:$N$75)</f>
        <v>4615423.1710000001</v>
      </c>
      <c r="T180" s="17">
        <v>506369.26299999998</v>
      </c>
      <c r="U180" s="17">
        <v>2.3936057609387404</v>
      </c>
      <c r="AC180">
        <f t="array" ref="AC180:AD180">_xll.map_xy2gps(S179,T179,"utm",$Y$4:$Z$8,$AA$4:$AB$8)</f>
        <v>45.076377306853161</v>
      </c>
      <c r="AD180">
        <v>41.690693042347547</v>
      </c>
    </row>
    <row r="181" spans="16:30" ht="22.5" customHeight="1" x14ac:dyDescent="0.15">
      <c r="P181" s="17">
        <v>5260</v>
      </c>
      <c r="Q181" s="17">
        <v>0</v>
      </c>
      <c r="R181" s="17">
        <v>90</v>
      </c>
      <c r="S181" s="17">
        <f t="array" ref="S181:U181">_xll.hdm_k2xy_data(P181,Q181,R181,$G$3:$N$75)</f>
        <v>4615408.4060000004</v>
      </c>
      <c r="T181" s="17">
        <v>506382.75300000003</v>
      </c>
      <c r="U181" s="17">
        <v>2.4089903763233562</v>
      </c>
      <c r="AC181">
        <f t="array" ref="AC181:AD181">_xll.map_xy2gps(S180,T180,"utm",$Y$4:$Z$8,$AA$4:$AB$8)</f>
        <v>45.0765419604611</v>
      </c>
      <c r="AD181">
        <v>41.69056182469118</v>
      </c>
    </row>
    <row r="182" spans="16:30" ht="22.5" customHeight="1" x14ac:dyDescent="0.15">
      <c r="P182" s="17">
        <v>5280</v>
      </c>
      <c r="Q182" s="17">
        <v>0</v>
      </c>
      <c r="R182" s="17">
        <v>90</v>
      </c>
      <c r="S182" s="17">
        <f t="array" ref="S182:U182">_xll.hdm_k2xy_data(P182,Q182,R182,$G$3:$N$75)</f>
        <v>4615393.4349999996</v>
      </c>
      <c r="T182" s="17">
        <v>506396.01500000001</v>
      </c>
      <c r="U182" s="17">
        <v>2.4243749917079715</v>
      </c>
      <c r="AC182">
        <f t="array" ref="AC182:AD182">_xll.map_xy2gps(S181,T181,"utm",$Y$4:$Z$8,$AA$4:$AB$8)</f>
        <v>45.076703907418135</v>
      </c>
      <c r="AD182">
        <v>41.690428726107015</v>
      </c>
    </row>
    <row r="183" spans="16:30" ht="22.5" customHeight="1" x14ac:dyDescent="0.15">
      <c r="P183" s="17">
        <v>5300</v>
      </c>
      <c r="Q183" s="17">
        <v>0</v>
      </c>
      <c r="R183" s="17">
        <v>90</v>
      </c>
      <c r="S183" s="17">
        <f t="array" ref="S183:U183">_xll.hdm_k2xy_data(P183,Q183,R183,$G$3:$N$75)</f>
        <v>4615378.2620000001</v>
      </c>
      <c r="T183" s="17">
        <v>506409.04399999999</v>
      </c>
      <c r="U183" s="17">
        <v>2.4397596070925869</v>
      </c>
      <c r="AC183">
        <f t="array" ref="AC183:AD183">_xll.map_xy2gps(S182,T182,"utm",$Y$4:$Z$8,$AA$4:$AB$8)</f>
        <v>45.076863111709201</v>
      </c>
      <c r="AD183">
        <v>41.690293773651874</v>
      </c>
    </row>
    <row r="184" spans="16:30" ht="22.5" customHeight="1" x14ac:dyDescent="0.15">
      <c r="P184" s="17">
        <v>5320</v>
      </c>
      <c r="Q184" s="17">
        <v>0</v>
      </c>
      <c r="R184" s="17">
        <v>90</v>
      </c>
      <c r="S184" s="17">
        <f t="array" ref="S184:U184">_xll.hdm_k2xy_data(P184,Q184,R184,$G$3:$N$75)</f>
        <v>4615362.8899999997</v>
      </c>
      <c r="T184" s="17">
        <v>506421.83799999999</v>
      </c>
      <c r="U184" s="17">
        <v>2.4551442224772022</v>
      </c>
      <c r="AC184">
        <f t="array" ref="AC184:AD184">_xll.map_xy2gps(S183,T183,"utm",$Y$4:$Z$8,$AA$4:$AB$8)</f>
        <v>45.077019513297792</v>
      </c>
      <c r="AD184">
        <v>41.690157003405915</v>
      </c>
    </row>
    <row r="185" spans="16:30" ht="22.5" customHeight="1" x14ac:dyDescent="0.15">
      <c r="P185" s="17">
        <v>5340</v>
      </c>
      <c r="Q185" s="17">
        <v>0</v>
      </c>
      <c r="R185" s="17">
        <v>90</v>
      </c>
      <c r="S185" s="17">
        <f t="array" ref="S185:U185">_xll.hdm_k2xy_data(P185,Q185,R185,$G$3:$N$75)</f>
        <v>4615347.3229999999</v>
      </c>
      <c r="T185" s="17">
        <v>506434.39500000002</v>
      </c>
      <c r="U185" s="17">
        <v>2.4705288378618175</v>
      </c>
      <c r="AC185">
        <f t="array" ref="AC185:AD185">_xll.map_xy2gps(S184,T184,"utm",$Y$4:$Z$8,$AA$4:$AB$8)</f>
        <v>45.077173088187699</v>
      </c>
      <c r="AD185">
        <v>41.690018442417966</v>
      </c>
    </row>
    <row r="186" spans="16:30" ht="22.5" customHeight="1" x14ac:dyDescent="0.15">
      <c r="P186" s="17">
        <v>5360</v>
      </c>
      <c r="Q186" s="17">
        <v>0</v>
      </c>
      <c r="R186" s="17">
        <v>90</v>
      </c>
      <c r="S186" s="17">
        <f t="array" ref="S186:U186">_xll.hdm_k2xy_data(P186,Q186,R186,$G$3:$N$75)</f>
        <v>4615331.5650000004</v>
      </c>
      <c r="T186" s="17">
        <v>506446.71</v>
      </c>
      <c r="U186" s="17">
        <v>2.4859134532464329</v>
      </c>
      <c r="AC186">
        <f t="array" ref="AC186:AD186">_xll.map_xy2gps(S185,T185,"utm",$Y$4:$Z$8,$AA$4:$AB$8)</f>
        <v>45.077323812394404</v>
      </c>
      <c r="AD186">
        <v>41.689878126744027</v>
      </c>
    </row>
    <row r="187" spans="16:30" ht="22.5" customHeight="1" x14ac:dyDescent="0.15">
      <c r="P187" s="17">
        <v>5380</v>
      </c>
      <c r="Q187" s="17">
        <v>0</v>
      </c>
      <c r="R187" s="17">
        <v>90</v>
      </c>
      <c r="S187" s="17">
        <f t="array" ref="S187:U187">_xll.hdm_k2xy_data(P187,Q187,R187,$G$3:$N$75)</f>
        <v>4615315.6189999999</v>
      </c>
      <c r="T187" s="17">
        <v>506458.78200000001</v>
      </c>
      <c r="U187" s="17">
        <v>2.5012980686310482</v>
      </c>
      <c r="AC187">
        <f t="array" ref="AC187:AD187">_xll.map_xy2gps(S186,T186,"utm",$Y$4:$Z$8,$AA$4:$AB$8)</f>
        <v>45.07747162588489</v>
      </c>
      <c r="AD187">
        <v>41.689736092464265</v>
      </c>
    </row>
    <row r="188" spans="16:30" ht="22.5" customHeight="1" x14ac:dyDescent="0.15">
      <c r="P188" s="17">
        <v>5400</v>
      </c>
      <c r="Q188" s="17">
        <v>0</v>
      </c>
      <c r="R188" s="17">
        <v>90</v>
      </c>
      <c r="S188" s="17">
        <f t="array" ref="S188:U188">_xll.hdm_k2xy_data(P188,Q188,R188,$G$3:$N$75)</f>
        <v>4615299.4890000001</v>
      </c>
      <c r="T188" s="17">
        <v>506470.60600000003</v>
      </c>
      <c r="U188" s="17">
        <v>2.516682684015664</v>
      </c>
      <c r="AC188">
        <f t="array" ref="AC188:AD188">_xll.map_xy2gps(S187,T187,"utm",$Y$4:$Z$8,$AA$4:$AB$8)</f>
        <v>45.077616516682568</v>
      </c>
      <c r="AD188">
        <v>41.689592366619294</v>
      </c>
    </row>
    <row r="189" spans="16:30" ht="22.5" customHeight="1" x14ac:dyDescent="0.15">
      <c r="P189" s="17">
        <v>5420</v>
      </c>
      <c r="Q189" s="17">
        <v>0</v>
      </c>
      <c r="R189" s="17">
        <v>90</v>
      </c>
      <c r="S189" s="17">
        <f t="array" ref="S189:U189">_xll.hdm_k2xy_data(P189,Q189,R189,$G$3:$N$75)</f>
        <v>4615283.18</v>
      </c>
      <c r="T189" s="17">
        <v>506482.18199999997</v>
      </c>
      <c r="U189" s="17">
        <v>2.5320672994002793</v>
      </c>
      <c r="AC189">
        <f t="array" ref="AC189:AD189">_xll.map_xy2gps(S188,T188,"utm",$Y$4:$Z$8,$AA$4:$AB$8)</f>
        <v>45.077758424756674</v>
      </c>
      <c r="AD189">
        <v>41.689446985289308</v>
      </c>
    </row>
    <row r="190" spans="16:30" ht="22.5" customHeight="1" x14ac:dyDescent="0.15">
      <c r="P190" s="17">
        <v>5440</v>
      </c>
      <c r="Q190" s="17">
        <v>0</v>
      </c>
      <c r="R190" s="17">
        <v>90</v>
      </c>
      <c r="S190" s="17">
        <f t="array" ref="S190:U190">_xll.hdm_k2xy_data(P190,Q190,R190,$G$3:$N$75)</f>
        <v>4615266.6940000001</v>
      </c>
      <c r="T190" s="17">
        <v>506493.505</v>
      </c>
      <c r="U190" s="17">
        <v>2.5474519147848946</v>
      </c>
      <c r="AC190">
        <f t="array" ref="AC190:AD190">_xll.map_xy2gps(S189,T189,"utm",$Y$4:$Z$8,$AA$4:$AB$8)</f>
        <v>45.07789735017078</v>
      </c>
      <c r="AD190">
        <v>41.689299993520969</v>
      </c>
    </row>
    <row r="191" spans="16:30" ht="22.5" customHeight="1" x14ac:dyDescent="0.15">
      <c r="P191" s="17">
        <v>5460</v>
      </c>
      <c r="Q191" s="17">
        <v>0</v>
      </c>
      <c r="R191" s="17">
        <v>90</v>
      </c>
      <c r="S191" s="17">
        <f t="array" ref="S191:U191">_xll.hdm_k2xy_data(P191,Q191,R191,$G$3:$N$75)</f>
        <v>4615250.0360000003</v>
      </c>
      <c r="T191" s="17">
        <v>506504.57299999997</v>
      </c>
      <c r="U191" s="17">
        <v>2.56283653016951</v>
      </c>
      <c r="AC191">
        <f t="array" ref="AC191:AD191">_xll.map_xy2gps(S190,T190,"utm",$Y$4:$Z$8,$AA$4:$AB$8)</f>
        <v>45.078033232874617</v>
      </c>
      <c r="AD191">
        <v>41.689151409380038</v>
      </c>
    </row>
    <row r="192" spans="16:30" ht="22.5" customHeight="1" x14ac:dyDescent="0.15">
      <c r="P192" s="17">
        <v>5480</v>
      </c>
      <c r="Q192" s="17">
        <v>0</v>
      </c>
      <c r="R192" s="17">
        <v>90</v>
      </c>
      <c r="S192" s="17">
        <f t="array" ref="S192:U192">_xll.hdm_k2xy_data(P192,Q192,R192,$G$3:$N$75)</f>
        <v>4615233.2089999998</v>
      </c>
      <c r="T192" s="17">
        <v>506515.38299999997</v>
      </c>
      <c r="U192" s="17">
        <v>2.5782211455541253</v>
      </c>
      <c r="AC192">
        <f t="array" ref="AC192:AD192">_xll.map_xy2gps(S191,T191,"utm",$Y$4:$Z$8,$AA$4:$AB$8)</f>
        <v>45.078166048900925</v>
      </c>
      <c r="AD192">
        <v>41.68900127792925</v>
      </c>
    </row>
    <row r="193" spans="16:30" ht="22.5" customHeight="1" x14ac:dyDescent="0.15">
      <c r="P193" s="17">
        <v>5500</v>
      </c>
      <c r="Q193" s="17">
        <v>0</v>
      </c>
      <c r="R193" s="17">
        <v>90</v>
      </c>
      <c r="S193" s="17">
        <f t="array" ref="S193:U193">_xll.hdm_k2xy_data(P193,Q193,R193,$G$3:$N$75)</f>
        <v>4615216.2189999996</v>
      </c>
      <c r="T193" s="17">
        <v>506525.93300000002</v>
      </c>
      <c r="U193" s="17">
        <v>2.5936057609387406</v>
      </c>
      <c r="AC193">
        <f t="array" ref="AC193:AD193">_xll.map_xy2gps(S192,T192,"utm",$Y$4:$Z$8,$AA$4:$AB$8)</f>
        <v>45.078295762245268</v>
      </c>
      <c r="AD193">
        <v>41.688849626225121</v>
      </c>
    </row>
    <row r="194" spans="16:30" ht="22.5" customHeight="1" x14ac:dyDescent="0.15">
      <c r="P194" s="17">
        <v>5520</v>
      </c>
      <c r="Q194" s="17">
        <v>0</v>
      </c>
      <c r="R194" s="17">
        <v>90</v>
      </c>
      <c r="S194" s="17">
        <f t="array" ref="S194:U194">_xll.hdm_k2xy_data(P194,Q194,R194,$G$3:$N$75)</f>
        <v>4615199.068</v>
      </c>
      <c r="T194" s="17">
        <v>506536.22100000002</v>
      </c>
      <c r="U194" s="17">
        <v>2.608990376323356</v>
      </c>
      <c r="AC194">
        <f t="array" ref="AC194:AD194">_xll.map_xy2gps(S193,T193,"utm",$Y$4:$Z$8,$AA$4:$AB$8)</f>
        <v>45.078422348953367</v>
      </c>
      <c r="AD194">
        <v>41.688696508337301</v>
      </c>
    </row>
    <row r="195" spans="16:30" ht="22.5" customHeight="1" x14ac:dyDescent="0.15">
      <c r="P195" s="17">
        <v>5540</v>
      </c>
      <c r="Q195" s="17">
        <v>0</v>
      </c>
      <c r="R195" s="17">
        <v>90</v>
      </c>
      <c r="S195" s="17">
        <f t="array" ref="S195:U195">_xll.hdm_k2xy_data(P195,Q195,R195,$G$3:$N$75)</f>
        <v>4615181.76</v>
      </c>
      <c r="T195" s="17">
        <v>506546.24400000001</v>
      </c>
      <c r="U195" s="17">
        <v>2.6243749917079713</v>
      </c>
      <c r="AC195">
        <f t="array" ref="AC195:AD195">_xll.map_xy2gps(S194,T194,"utm",$Y$4:$Z$8,$AA$4:$AB$8)</f>
        <v>45.078545785028169</v>
      </c>
      <c r="AD195">
        <v>41.688541942306742</v>
      </c>
    </row>
    <row r="196" spans="16:30" ht="22.5" customHeight="1" x14ac:dyDescent="0.15">
      <c r="P196" s="17">
        <v>5560</v>
      </c>
      <c r="Q196" s="17">
        <v>0</v>
      </c>
      <c r="R196" s="17">
        <v>90</v>
      </c>
      <c r="S196" s="17">
        <f t="array" ref="S196:U196">_xll.hdm_k2xy_data(P196,Q196,R196,$G$3:$N$75)</f>
        <v>4615164.301</v>
      </c>
      <c r="T196" s="17">
        <v>506555.99900000001</v>
      </c>
      <c r="U196" s="17">
        <v>2.6397596070925866</v>
      </c>
      <c r="AC196">
        <f t="array" ref="AC196:AD196">_xll.map_xy2gps(S195,T195,"utm",$Y$4:$Z$8,$AA$4:$AB$8)</f>
        <v>45.078666034479127</v>
      </c>
      <c r="AD196">
        <v>41.688385964196705</v>
      </c>
    </row>
    <row r="197" spans="16:30" ht="22.5" customHeight="1" x14ac:dyDescent="0.15">
      <c r="P197" s="17">
        <v>5580</v>
      </c>
      <c r="Q197" s="17">
        <v>0</v>
      </c>
      <c r="R197" s="17">
        <v>90</v>
      </c>
      <c r="S197" s="17">
        <f t="array" ref="S197:U197">_xll.hdm_k2xy_data(P197,Q197,R197,$G$3:$N$75)</f>
        <v>4615146.6940000001</v>
      </c>
      <c r="T197" s="17">
        <v>506565.484</v>
      </c>
      <c r="U197" s="17">
        <v>2.6551442224772019</v>
      </c>
      <c r="AC197">
        <f t="array" ref="AC197:AD197">_xll.map_xy2gps(S196,T196,"utm",$Y$4:$Z$8,$AA$4:$AB$8)</f>
        <v>45.07878306133869</v>
      </c>
      <c r="AD197">
        <v>41.688228628084701</v>
      </c>
    </row>
    <row r="198" spans="16:30" ht="22.5" customHeight="1" x14ac:dyDescent="0.15">
      <c r="P198" s="17">
        <v>5600</v>
      </c>
      <c r="Q198" s="17">
        <v>0</v>
      </c>
      <c r="R198" s="17">
        <v>90</v>
      </c>
      <c r="S198" s="17">
        <f t="array" ref="S198:U198">_xll.hdm_k2xy_data(P198,Q198,R198,$G$3:$N$75)</f>
        <v>4615128.943</v>
      </c>
      <c r="T198" s="17">
        <v>506574.69799999997</v>
      </c>
      <c r="U198" s="17">
        <v>2.6705288378618177</v>
      </c>
      <c r="AC198">
        <f t="array" ref="AC198:AD198">_xll.map_xy2gps(S197,T197,"utm",$Y$4:$Z$8,$AA$4:$AB$8)</f>
        <v>45.078896841623646</v>
      </c>
      <c r="AD198">
        <v>41.688069961018364</v>
      </c>
    </row>
    <row r="199" spans="16:30" ht="22.5" customHeight="1" x14ac:dyDescent="0.15">
      <c r="P199" s="17">
        <v>5620</v>
      </c>
      <c r="Q199" s="17">
        <v>0</v>
      </c>
      <c r="R199" s="17">
        <v>90</v>
      </c>
      <c r="S199" s="17">
        <f t="array" ref="S199:U199">_xll.hdm_k2xy_data(P199,Q199,R199,$G$3:$N$75)</f>
        <v>4615111.0520000001</v>
      </c>
      <c r="T199" s="17">
        <v>506583.63699999999</v>
      </c>
      <c r="U199" s="17">
        <v>2.685913453246433</v>
      </c>
      <c r="AC199">
        <f t="array" ref="AC199:AD199">_xll.map_xy2gps(S198,T198,"utm",$Y$4:$Z$8,$AA$4:$AB$8)</f>
        <v>45.079007363378807</v>
      </c>
      <c r="AD199">
        <v>41.687909999044102</v>
      </c>
    </row>
    <row r="200" spans="16:30" ht="22.5" customHeight="1" x14ac:dyDescent="0.15">
      <c r="P200" s="17">
        <v>5640</v>
      </c>
      <c r="Q200" s="17">
        <v>0</v>
      </c>
      <c r="R200" s="17">
        <v>90</v>
      </c>
      <c r="S200" s="17">
        <f t="array" ref="S200:U200">_xll.hdm_k2xy_data(P200,Q200,R200,$G$3:$N$75)</f>
        <v>4615093.0250000004</v>
      </c>
      <c r="T200" s="17">
        <v>506592.3</v>
      </c>
      <c r="U200" s="17">
        <v>2.7012980686310484</v>
      </c>
      <c r="AC200">
        <f t="array" ref="AC200:AD200">_xll.map_xy2gps(S199,T199,"utm",$Y$4:$Z$8,$AA$4:$AB$8)</f>
        <v>45.079114578601335</v>
      </c>
      <c r="AD200">
        <v>41.687748778232866</v>
      </c>
    </row>
    <row r="201" spans="16:30" ht="22.5" customHeight="1" x14ac:dyDescent="0.15">
      <c r="P201" s="17">
        <v>5660</v>
      </c>
      <c r="Q201" s="17">
        <v>0</v>
      </c>
      <c r="R201" s="17">
        <v>90</v>
      </c>
      <c r="S201" s="17">
        <f t="array" ref="S201:U201">_xll.hdm_k2xy_data(P201,Q201,R201,$G$3:$N$75)</f>
        <v>4615074.8679999998</v>
      </c>
      <c r="T201" s="17">
        <v>506600.68400000001</v>
      </c>
      <c r="U201" s="17">
        <v>2.7166826840156637</v>
      </c>
      <c r="AC201">
        <f t="array" ref="AC201:AD201">_xll.map_xy2gps(S200,T200,"utm",$Y$4:$Z$8,$AA$4:$AB$8)</f>
        <v>45.079218475337818</v>
      </c>
      <c r="AD201">
        <v>41.687586334630687</v>
      </c>
    </row>
    <row r="202" spans="16:30" ht="22.5" customHeight="1" x14ac:dyDescent="0.15">
      <c r="P202" s="17">
        <v>5680</v>
      </c>
      <c r="Q202" s="17">
        <v>0</v>
      </c>
      <c r="R202" s="17">
        <v>90</v>
      </c>
      <c r="S202" s="17">
        <f t="array" ref="S202:U202">_xll.hdm_k2xy_data(P202,Q202,R202,$G$3:$N$75)</f>
        <v>4615056.5839999998</v>
      </c>
      <c r="T202" s="17">
        <v>506608.78899999999</v>
      </c>
      <c r="U202" s="17">
        <v>2.732067299400279</v>
      </c>
      <c r="AC202">
        <f t="array" ref="AC202:AD202">_xll.map_xy2gps(S201,T201,"utm",$Y$4:$Z$8,$AA$4:$AB$8)</f>
        <v>45.079319017625544</v>
      </c>
      <c r="AD202">
        <v>41.687422722314174</v>
      </c>
    </row>
    <row r="203" spans="16:30" ht="22.5" customHeight="1" x14ac:dyDescent="0.15">
      <c r="P203" s="17">
        <v>5700</v>
      </c>
      <c r="Q203" s="17">
        <v>0</v>
      </c>
      <c r="R203" s="17">
        <v>90</v>
      </c>
      <c r="S203" s="17">
        <f t="array" ref="S203:U203">_xll.hdm_k2xy_data(P203,Q203,R203,$G$3:$N$75)</f>
        <v>4615038.1770000001</v>
      </c>
      <c r="T203" s="17">
        <v>506616.61099999998</v>
      </c>
      <c r="U203" s="17">
        <v>2.7474519147848944</v>
      </c>
      <c r="AC203">
        <f t="array" ref="AC203:AD203">_xll.map_xy2gps(S202,T202,"utm",$Y$4:$Z$8,$AA$4:$AB$8)</f>
        <v>45.079416205517781</v>
      </c>
      <c r="AD203">
        <v>41.687257968313524</v>
      </c>
    </row>
    <row r="204" spans="16:30" ht="22.5" customHeight="1" x14ac:dyDescent="0.15">
      <c r="P204" s="17">
        <v>5720</v>
      </c>
      <c r="Q204" s="17">
        <v>0</v>
      </c>
      <c r="R204" s="17">
        <v>90</v>
      </c>
      <c r="S204" s="17">
        <f t="array" ref="S204:U204">_xll.hdm_k2xy_data(P204,Q204,R204,$G$3:$N$75)</f>
        <v>4615019.6519999998</v>
      </c>
      <c r="T204" s="17">
        <v>506624.14899999998</v>
      </c>
      <c r="U204" s="17">
        <v>2.7628365301695101</v>
      </c>
      <c r="AC204">
        <f t="array" ref="AC204:AD204">_xll.map_xy2gps(S203,T203,"utm",$Y$4:$Z$8,$AA$4:$AB$8)</f>
        <v>45.079509991015357</v>
      </c>
      <c r="AD204">
        <v>41.687092108698963</v>
      </c>
    </row>
    <row r="205" spans="16:30" ht="22.5" customHeight="1" x14ac:dyDescent="0.15">
      <c r="P205" s="17">
        <v>5740</v>
      </c>
      <c r="Q205" s="17">
        <v>0</v>
      </c>
      <c r="R205" s="17">
        <v>90</v>
      </c>
      <c r="S205" s="17">
        <f t="array" ref="S205:U205">_xll.hdm_k2xy_data(P205,Q205,R205,$G$3:$N$75)</f>
        <v>4615001.0140000004</v>
      </c>
      <c r="T205" s="17">
        <v>506631.40100000001</v>
      </c>
      <c r="U205" s="17">
        <v>2.7782211455541255</v>
      </c>
      <c r="AC205">
        <f t="array" ref="AC205:AD205">_xll.map_xy2gps(S204,T204,"utm",$Y$4:$Z$8,$AA$4:$AB$8)</f>
        <v>45.079600362179178</v>
      </c>
      <c r="AD205">
        <v>41.686925188522792</v>
      </c>
    </row>
    <row r="206" spans="16:30" ht="22.5" customHeight="1" x14ac:dyDescent="0.15">
      <c r="P206" s="17">
        <v>5760</v>
      </c>
      <c r="Q206" s="17">
        <v>0</v>
      </c>
      <c r="R206" s="17">
        <v>90</v>
      </c>
      <c r="S206" s="17">
        <f t="array" ref="S206:U206">_xll.hdm_k2xy_data(P206,Q206,R206,$G$3:$N$75)</f>
        <v>4614982.2659999998</v>
      </c>
      <c r="T206" s="17">
        <v>506638.36499999999</v>
      </c>
      <c r="U206" s="17">
        <v>2.7936057609387408</v>
      </c>
      <c r="AC206">
        <f t="array" ref="AC206:AD206">_xll.map_xy2gps(S205,T205,"utm",$Y$4:$Z$8,$AA$4:$AB$8)</f>
        <v>45.079687295054953</v>
      </c>
      <c r="AD206">
        <v>41.686757252845382</v>
      </c>
    </row>
    <row r="207" spans="16:30" ht="22.5" customHeight="1" x14ac:dyDescent="0.15">
      <c r="P207" s="17">
        <v>5780</v>
      </c>
      <c r="Q207" s="17">
        <v>0</v>
      </c>
      <c r="R207" s="17">
        <v>90</v>
      </c>
      <c r="S207" s="17">
        <f t="array" ref="S207:U207">_xll.hdm_k2xy_data(P207,Q207,R207,$G$3:$N$75)</f>
        <v>4614963.4129999997</v>
      </c>
      <c r="T207" s="17">
        <v>506645.04100000003</v>
      </c>
      <c r="U207" s="17">
        <v>2.8089903763233561</v>
      </c>
      <c r="AC207">
        <f t="array" ref="AC207:AD207">_xll.map_xy2gps(S206,T206,"utm",$Y$4:$Z$8,$AA$4:$AB$8)</f>
        <v>45.079770765666929</v>
      </c>
      <c r="AD207">
        <v>41.686588328712524</v>
      </c>
    </row>
    <row r="208" spans="16:30" ht="22.5" customHeight="1" x14ac:dyDescent="0.15">
      <c r="P208" s="17">
        <v>5800</v>
      </c>
      <c r="Q208" s="17">
        <v>0</v>
      </c>
      <c r="R208" s="17">
        <v>90</v>
      </c>
      <c r="S208" s="17">
        <f t="array" ref="S208:U208">_xll.hdm_k2xy_data(P208,Q208,R208,$G$3:$N$75)</f>
        <v>4614944.4589999998</v>
      </c>
      <c r="T208" s="17">
        <v>506651.42499999999</v>
      </c>
      <c r="U208" s="17">
        <v>2.8243749917079715</v>
      </c>
      <c r="AC208">
        <f t="array" ref="AC208:AD208">_xll.map_xy2gps(S207,T207,"utm",$Y$4:$Z$8,$AA$4:$AB$8)</f>
        <v>45.079850774094155</v>
      </c>
      <c r="AD208">
        <v>41.686418461167442</v>
      </c>
    </row>
    <row r="209" spans="16:30" ht="22.5" customHeight="1" x14ac:dyDescent="0.15">
      <c r="P209" s="17">
        <v>5820</v>
      </c>
      <c r="Q209" s="17">
        <v>0</v>
      </c>
      <c r="R209" s="17">
        <v>90</v>
      </c>
      <c r="S209" s="17">
        <f t="array" ref="S209:U209">_xll.hdm_k2xy_data(P209,Q209,R209,$G$3:$N$75)</f>
        <v>4614925.41</v>
      </c>
      <c r="T209" s="17">
        <v>506657.51699999999</v>
      </c>
      <c r="U209" s="17">
        <v>2.8397596070925868</v>
      </c>
      <c r="AC209">
        <f t="array" ref="AC209:AD209">_xll.map_xy2gps(S208,T208,"utm",$Y$4:$Z$8,$AA$4:$AB$8)</f>
        <v>45.079927272341557</v>
      </c>
      <c r="AD209">
        <v>41.686247686279302</v>
      </c>
    </row>
    <row r="210" spans="16:30" ht="22.5" customHeight="1" x14ac:dyDescent="0.15">
      <c r="P210" s="17">
        <v>5840</v>
      </c>
      <c r="Q210" s="17">
        <v>0</v>
      </c>
      <c r="R210" s="17">
        <v>90</v>
      </c>
      <c r="S210" s="17">
        <f t="array" ref="S210:U210">_xll.hdm_k2xy_data(P210,Q210,R210,$G$3:$N$75)</f>
        <v>4614906.2690000003</v>
      </c>
      <c r="T210" s="17">
        <v>506663.315</v>
      </c>
      <c r="U210" s="17">
        <v>2.8551442224772021</v>
      </c>
      <c r="AC210">
        <f t="array" ref="AC210:AD210">_xll.map_xy2gps(S209,T209,"utm",$Y$4:$Z$8,$AA$4:$AB$8)</f>
        <v>45.080000260500732</v>
      </c>
      <c r="AD210">
        <v>41.686076058097939</v>
      </c>
    </row>
    <row r="211" spans="16:30" ht="22.5" customHeight="1" x14ac:dyDescent="0.15">
      <c r="P211" s="17">
        <v>5860</v>
      </c>
      <c r="Q211" s="17">
        <v>0</v>
      </c>
      <c r="R211" s="17">
        <v>90</v>
      </c>
      <c r="S211" s="17">
        <f t="array" ref="S211:U211">_xll.hdm_k2xy_data(P211,Q211,R211,$G$3:$N$75)</f>
        <v>4614887.0420000004</v>
      </c>
      <c r="T211" s="17">
        <v>506668.821</v>
      </c>
      <c r="U211" s="17">
        <v>2.8700091434922688</v>
      </c>
      <c r="AC211">
        <f t="array" ref="AC211:AD211">_xll.map_xy2gps(S210,T210,"utm",$Y$4:$Z$8,$AA$4:$AB$8)</f>
        <v>45.0800697145987</v>
      </c>
      <c r="AD211">
        <v>41.685903603668102</v>
      </c>
    </row>
    <row r="212" spans="16:30" ht="22.5" customHeight="1" x14ac:dyDescent="0.15">
      <c r="P212" s="17">
        <v>5880</v>
      </c>
      <c r="Q212" s="17">
        <v>0</v>
      </c>
      <c r="R212" s="17">
        <v>90</v>
      </c>
      <c r="S212" s="17">
        <f t="array" ref="S212:U212">_xll.hdm_k2xy_data(P212,Q212,R212,$G$3:$N$75)</f>
        <v>4614867.74</v>
      </c>
      <c r="T212" s="17">
        <v>506674.05800000002</v>
      </c>
      <c r="U212" s="17">
        <v>2.8829742311910658</v>
      </c>
      <c r="AC212">
        <f t="array" ref="AC212:AD212">_xll.map_xy2gps(S211,T211,"utm",$Y$4:$Z$8,$AA$4:$AB$8)</f>
        <v>45.080135658759701</v>
      </c>
      <c r="AD212">
        <v>41.685730377022296</v>
      </c>
    </row>
    <row r="213" spans="16:30" ht="22.5" customHeight="1" x14ac:dyDescent="0.15">
      <c r="P213" s="17">
        <v>5900</v>
      </c>
      <c r="Q213" s="17">
        <v>0</v>
      </c>
      <c r="R213" s="17">
        <v>90</v>
      </c>
      <c r="S213" s="17">
        <f t="array" ref="S213:U213">_xll.hdm_k2xy_data(P213,Q213,R213,$G$3:$N$75)</f>
        <v>4614848.3770000003</v>
      </c>
      <c r="T213" s="17">
        <v>506679.06300000002</v>
      </c>
      <c r="U213" s="17">
        <v>2.8939640330005507</v>
      </c>
      <c r="AC213">
        <f t="array" ref="AC213:AD213">_xll.map_xy2gps(S212,T212,"utm",$Y$4:$Z$8,$AA$4:$AB$8)</f>
        <v>45.080198369494688</v>
      </c>
      <c r="AD213">
        <v>41.685556477052344</v>
      </c>
    </row>
    <row r="214" spans="16:30" ht="22.5" customHeight="1" x14ac:dyDescent="0.15">
      <c r="P214" s="17">
        <v>5920</v>
      </c>
      <c r="Q214" s="17">
        <v>0</v>
      </c>
      <c r="R214" s="17">
        <v>90</v>
      </c>
      <c r="S214" s="17">
        <f t="array" ref="S214:U214">_xll.hdm_k2xy_data(P214,Q214,R214,$G$3:$N$75)</f>
        <v>4614828.9639999997</v>
      </c>
      <c r="T214" s="17">
        <v>506683.875</v>
      </c>
      <c r="U214" s="17">
        <v>2.9029785489207232</v>
      </c>
      <c r="AC214">
        <f t="array" ref="AC214:AD214">_xll.map_xy2gps(S213,T213,"utm",$Y$4:$Z$8,$AA$4:$AB$8)</f>
        <v>45.080258291565691</v>
      </c>
      <c r="AD214">
        <v>41.685382029553224</v>
      </c>
    </row>
    <row r="215" spans="16:30" ht="22.5" customHeight="1" x14ac:dyDescent="0.15">
      <c r="P215" s="17">
        <v>5940</v>
      </c>
      <c r="Q215" s="17">
        <v>0</v>
      </c>
      <c r="R215" s="17">
        <v>90</v>
      </c>
      <c r="S215" s="17">
        <f t="array" ref="S215:U215">_xll.hdm_k2xy_data(P215,Q215,R215,$G$3:$N$75)</f>
        <v>4614809.5130000003</v>
      </c>
      <c r="T215" s="17">
        <v>506688.53</v>
      </c>
      <c r="U215" s="17">
        <v>2.9100177789515835</v>
      </c>
      <c r="AC215">
        <f t="array" ref="AC215:AD215">_xll.map_xy2gps(S214,T214,"utm",$Y$4:$Z$8,$AA$4:$AB$8)</f>
        <v>45.080315893728361</v>
      </c>
      <c r="AD215">
        <v>41.685207133280443</v>
      </c>
    </row>
    <row r="216" spans="16:30" ht="22.5" customHeight="1" x14ac:dyDescent="0.15">
      <c r="P216" s="17">
        <v>5960</v>
      </c>
      <c r="Q216" s="17">
        <v>0</v>
      </c>
      <c r="R216" s="17">
        <v>90</v>
      </c>
      <c r="S216" s="17">
        <f t="array" ref="S216:U216">_xll.hdm_k2xy_data(P216,Q216,R216,$G$3:$N$75)</f>
        <v>4614790.0350000001</v>
      </c>
      <c r="T216" s="17">
        <v>506693.06800000003</v>
      </c>
      <c r="U216" s="17">
        <v>2.9150817230931318</v>
      </c>
      <c r="AC216">
        <f t="array" ref="AC216:AD216">_xll.map_xy2gps(S215,T215,"utm",$Y$4:$Z$8,$AA$4:$AB$8)</f>
        <v>45.080371608697959</v>
      </c>
      <c r="AD216">
        <v>41.685031896020902</v>
      </c>
    </row>
    <row r="217" spans="16:30" ht="22.5" customHeight="1" x14ac:dyDescent="0.15">
      <c r="P217" s="17">
        <v>5980</v>
      </c>
      <c r="Q217" s="17">
        <v>0</v>
      </c>
      <c r="R217" s="17">
        <v>90</v>
      </c>
      <c r="S217" s="17">
        <f t="array" ref="S217:U217">_xll.hdm_k2xy_data(P217,Q217,R217,$G$3:$N$75)</f>
        <v>4614770.5379999997</v>
      </c>
      <c r="T217" s="17">
        <v>506697.52600000001</v>
      </c>
      <c r="U217" s="17">
        <v>2.9181703813453681</v>
      </c>
      <c r="AC217">
        <f t="array" ref="AC217:AD217">_xll.map_xy2gps(S216,T216,"utm",$Y$4:$Z$8,$AA$4:$AB$8)</f>
        <v>45.080425917236745</v>
      </c>
      <c r="AD217">
        <v>41.684856416519715</v>
      </c>
    </row>
    <row r="218" spans="16:30" ht="22.5" customHeight="1" x14ac:dyDescent="0.15">
      <c r="P218" s="17">
        <v>6000</v>
      </c>
      <c r="Q218" s="17">
        <v>0</v>
      </c>
      <c r="R218" s="17">
        <v>90</v>
      </c>
      <c r="S218" s="17">
        <f t="array" ref="S218:U218">_xll.hdm_k2xy_data(P218,Q218,R218,$G$3:$N$75)</f>
        <v>4614751.0319999997</v>
      </c>
      <c r="T218" s="17">
        <v>506701.94400000002</v>
      </c>
      <c r="U218" s="17">
        <v>2.9192837537082919</v>
      </c>
      <c r="AC218">
        <f t="array" ref="AC218:AD218">_xll.map_xy2gps(S217,T217,"utm",$Y$4:$Z$8,$AA$4:$AB$8)</f>
        <v>45.080479264021712</v>
      </c>
      <c r="AD218">
        <v>41.684680766524771</v>
      </c>
    </row>
    <row r="219" spans="16:30" ht="22.5" customHeight="1" x14ac:dyDescent="0.15">
      <c r="P219" s="17">
        <v>6020</v>
      </c>
      <c r="Q219" s="17">
        <v>0</v>
      </c>
      <c r="R219" s="17">
        <v>90</v>
      </c>
      <c r="S219" s="17">
        <f t="array" ref="S219:U219">_xll.hdm_k2xy_data(P219,Q219,R219,$G$3:$N$75)</f>
        <v>4614731.5259999996</v>
      </c>
      <c r="T219" s="17">
        <v>506706.36</v>
      </c>
      <c r="U219" s="17">
        <v>2.9181901892916606</v>
      </c>
      <c r="AC219">
        <f t="array" ref="AC219:AD219">_xll.map_xy2gps(S218,T218,"utm",$Y$4:$Z$8,$AA$4:$AB$8)</f>
        <v>45.080532129794371</v>
      </c>
      <c r="AD219">
        <v>41.684505035772297</v>
      </c>
    </row>
    <row r="220" spans="16:30" ht="22.5" customHeight="1" x14ac:dyDescent="0.15">
      <c r="P220" s="17">
        <v>6040</v>
      </c>
      <c r="Q220" s="17">
        <v>0</v>
      </c>
      <c r="R220" s="17">
        <v>90</v>
      </c>
      <c r="S220" s="17">
        <f t="array" ref="S220:U220">_xll.hdm_k2xy_data(P220,Q220,R220,$G$3:$N$75)</f>
        <v>4614712.03</v>
      </c>
      <c r="T220" s="17">
        <v>506710.82199999999</v>
      </c>
      <c r="U220" s="17">
        <v>2.9145992734038697</v>
      </c>
      <c r="AC220">
        <f t="array" ref="AC220:AD220">_xll.map_xy2gps(S219,T219,"utm",$Y$4:$Z$8,$AA$4:$AB$8)</f>
        <v>45.080584971249031</v>
      </c>
      <c r="AD220">
        <v>41.684329305007203</v>
      </c>
    </row>
    <row r="221" spans="16:30" ht="22.5" customHeight="1" x14ac:dyDescent="0.15">
      <c r="P221" s="17">
        <v>6060</v>
      </c>
      <c r="Q221" s="17">
        <v>0</v>
      </c>
      <c r="R221" s="17">
        <v>90</v>
      </c>
      <c r="S221" s="17">
        <f t="array" ref="S221:U221">_xll.hdm_k2xy_data(P221,Q221,R221,$G$3:$N$75)</f>
        <v>4614692.5559999999</v>
      </c>
      <c r="T221" s="17">
        <v>506715.37900000002</v>
      </c>
      <c r="U221" s="17">
        <v>2.9085083812661381</v>
      </c>
      <c r="AC221">
        <f t="array" ref="AC221:AD221">_xll.map_xy2gps(S220,T220,"utm",$Y$4:$Z$8,$AA$4:$AB$8)</f>
        <v>45.080638365241334</v>
      </c>
      <c r="AD221">
        <v>41.684153663896495</v>
      </c>
    </row>
    <row r="222" spans="16:30" ht="22.5" customHeight="1" x14ac:dyDescent="0.15">
      <c r="P222" s="17">
        <v>6080</v>
      </c>
      <c r="Q222" s="17">
        <v>0</v>
      </c>
      <c r="R222" s="17">
        <v>90</v>
      </c>
      <c r="S222" s="17">
        <f t="array" ref="S222:U222">_xll.hdm_k2xy_data(P222,Q222,R222,$G$3:$N$75)</f>
        <v>4614673.1160000004</v>
      </c>
      <c r="T222" s="17">
        <v>506720.07799999998</v>
      </c>
      <c r="U222" s="17">
        <v>2.8999175128784662</v>
      </c>
      <c r="AC222">
        <f t="array" ref="AC222:AD222">_xll.map_xy2gps(S221,T221,"utm",$Y$4:$Z$8,$AA$4:$AB$8)</f>
        <v>45.080692900658889</v>
      </c>
      <c r="AD222">
        <v>41.68397822011201</v>
      </c>
    </row>
    <row r="223" spans="16:30" ht="22.5" customHeight="1" x14ac:dyDescent="0.15">
      <c r="P223" s="17">
        <v>6100</v>
      </c>
      <c r="Q223" s="17">
        <v>0</v>
      </c>
      <c r="R223" s="17">
        <v>90</v>
      </c>
      <c r="S223" s="17">
        <f t="array" ref="S223:U223">_xll.hdm_k2xy_data(P223,Q223,R223,$G$3:$N$75)</f>
        <v>4614653.7230000002</v>
      </c>
      <c r="T223" s="17">
        <v>506724.96799999999</v>
      </c>
      <c r="U223" s="17">
        <v>2.8888266682408537</v>
      </c>
      <c r="AC223">
        <f t="array" ref="AC223:AD223">_xll.map_xy2gps(S222,T222,"utm",$Y$4:$Z$8,$AA$4:$AB$8)</f>
        <v>45.080749142352467</v>
      </c>
      <c r="AD223">
        <v>41.683803081341289</v>
      </c>
    </row>
    <row r="224" spans="16:30" ht="22.5" customHeight="1" x14ac:dyDescent="0.15">
      <c r="P224" s="17">
        <v>6120</v>
      </c>
      <c r="Q224" s="17">
        <v>0</v>
      </c>
      <c r="R224" s="17">
        <v>90</v>
      </c>
      <c r="S224" s="17">
        <f t="array" ref="S224:U224">_xll.hdm_k2xy_data(P224,Q224,R224,$G$3:$N$75)</f>
        <v>4614634.392</v>
      </c>
      <c r="T224" s="17">
        <v>506730.09700000001</v>
      </c>
      <c r="U224" s="17">
        <v>2.8752358473533013</v>
      </c>
      <c r="AC224">
        <f t="array" ref="AC224:AD224">_xll.map_xy2gps(S223,T223,"utm",$Y$4:$Z$8,$AA$4:$AB$8)</f>
        <v>45.08080767920913</v>
      </c>
      <c r="AD224">
        <v>41.683628364261033</v>
      </c>
    </row>
    <row r="225" spans="16:30" ht="22.5" customHeight="1" x14ac:dyDescent="0.15">
      <c r="P225" s="17">
        <v>6140</v>
      </c>
      <c r="Q225" s="17">
        <v>0</v>
      </c>
      <c r="R225" s="17">
        <v>90</v>
      </c>
      <c r="S225" s="17">
        <f t="array" ref="S225:U225">_xll.hdm_k2xy_data(P225,Q225,R225,$G$3:$N$75)</f>
        <v>4614615.1399999997</v>
      </c>
      <c r="T225" s="17">
        <v>506735.51199999999</v>
      </c>
      <c r="U225" s="17">
        <v>2.8592362522414554</v>
      </c>
      <c r="AC225">
        <f t="array" ref="AC225:AD225">_xll.map_xy2gps(S224,T224,"utm",$Y$4:$Z$8,$AA$4:$AB$8)</f>
        <v>45.080869088117289</v>
      </c>
      <c r="AD225">
        <v>41.683454203569411</v>
      </c>
    </row>
    <row r="226" spans="16:30" ht="22.5" customHeight="1" x14ac:dyDescent="0.15">
      <c r="P226" s="17">
        <v>6160</v>
      </c>
      <c r="Q226" s="17">
        <v>0</v>
      </c>
      <c r="R226" s="17">
        <v>90</v>
      </c>
      <c r="S226" s="17">
        <f t="array" ref="S226:U226">_xll.hdm_k2xy_data(P226,Q226,R226,$G$3:$N$75)</f>
        <v>4614595.9790000003</v>
      </c>
      <c r="T226" s="17">
        <v>506741.24400000001</v>
      </c>
      <c r="U226" s="17">
        <v>2.8425695855747888</v>
      </c>
      <c r="AC226">
        <f t="array" ref="AC226:AD226">_xll.map_xy2gps(S225,T225,"utm",$Y$4:$Z$8,$AA$4:$AB$8)</f>
        <v>45.08093393396701</v>
      </c>
      <c r="AD226">
        <v>41.683280751985912</v>
      </c>
    </row>
    <row r="227" spans="16:30" ht="22.5" customHeight="1" x14ac:dyDescent="0.15">
      <c r="P227" s="17">
        <v>6180</v>
      </c>
      <c r="Q227" s="17">
        <v>0</v>
      </c>
      <c r="R227" s="17">
        <v>90</v>
      </c>
      <c r="S227" s="17">
        <f t="array" ref="S227:U227">_xll.hdm_k2xy_data(P227,Q227,R227,$G$3:$N$75)</f>
        <v>4614576.9170000004</v>
      </c>
      <c r="T227" s="17">
        <v>506747.29499999998</v>
      </c>
      <c r="U227" s="17">
        <v>2.8259029189081222</v>
      </c>
      <c r="AC227">
        <f t="array" ref="AC227:AD227">_xll.map_xy2gps(S226,T226,"utm",$Y$4:$Z$8,$AA$4:$AB$8)</f>
        <v>45.081002589342091</v>
      </c>
      <c r="AD227">
        <v>41.683108117328281</v>
      </c>
    </row>
    <row r="228" spans="16:30" ht="22.5" customHeight="1" x14ac:dyDescent="0.15">
      <c r="P228" s="17">
        <v>6200</v>
      </c>
      <c r="Q228" s="17">
        <v>0</v>
      </c>
      <c r="R228" s="17">
        <v>90</v>
      </c>
      <c r="S228" s="17">
        <f t="array" ref="S228:U228">_xll.hdm_k2xy_data(P228,Q228,R228,$G$3:$N$75)</f>
        <v>4614557.9579999996</v>
      </c>
      <c r="T228" s="17">
        <v>506753.66200000001</v>
      </c>
      <c r="U228" s="17">
        <v>2.8092362522414556</v>
      </c>
      <c r="AC228">
        <f t="array" ref="AC228:AD228">_xll.map_xy2gps(S227,T227,"utm",$Y$4:$Z$8,$AA$4:$AB$8)</f>
        <v>45.081075078335495</v>
      </c>
      <c r="AD228">
        <v>41.682936371630049</v>
      </c>
    </row>
    <row r="229" spans="16:30" ht="22.5" customHeight="1" x14ac:dyDescent="0.15">
      <c r="P229" s="17">
        <v>6220</v>
      </c>
      <c r="Q229" s="17">
        <v>0</v>
      </c>
      <c r="R229" s="17">
        <v>90</v>
      </c>
      <c r="S229" s="17">
        <f t="array" ref="S229:U229">_xll.hdm_k2xy_data(P229,Q229,R229,$G$3:$N$75)</f>
        <v>4614539.108</v>
      </c>
      <c r="T229" s="17">
        <v>506760.34499999997</v>
      </c>
      <c r="U229" s="17">
        <v>2.792569585574789</v>
      </c>
      <c r="AC229">
        <f t="array" ref="AC229:AD229">_xll.map_xy2gps(S228,T228,"utm",$Y$4:$Z$8,$AA$4:$AB$8)</f>
        <v>45.081151364919215</v>
      </c>
      <c r="AD229">
        <v>41.682765550938178</v>
      </c>
    </row>
    <row r="230" spans="16:30" ht="22.5" customHeight="1" x14ac:dyDescent="0.15">
      <c r="P230" s="17">
        <v>6240</v>
      </c>
      <c r="Q230" s="17">
        <v>0</v>
      </c>
      <c r="R230" s="17">
        <v>90</v>
      </c>
      <c r="S230" s="17">
        <f t="array" ref="S230:U230">_xll.hdm_k2xy_data(P230,Q230,R230,$G$3:$N$75)</f>
        <v>4614520.3710000003</v>
      </c>
      <c r="T230" s="17">
        <v>506767.34100000001</v>
      </c>
      <c r="U230" s="17">
        <v>2.7759029189081224</v>
      </c>
      <c r="AC230">
        <f t="array" ref="AC230:AD230">_xll.map_xy2gps(S229,T229,"utm",$Y$4:$Z$8,$AA$4:$AB$8)</f>
        <v>45.081231449134343</v>
      </c>
      <c r="AD230">
        <v>41.682595709288151</v>
      </c>
    </row>
    <row r="231" spans="16:30" ht="22.5" customHeight="1" x14ac:dyDescent="0.15">
      <c r="P231" s="17">
        <v>6260</v>
      </c>
      <c r="Q231" s="17">
        <v>0</v>
      </c>
      <c r="R231" s="17">
        <v>90</v>
      </c>
      <c r="S231" s="17">
        <f t="array" ref="S231:U231">_xll.hdm_k2xy_data(P231,Q231,R231,$G$3:$N$75)</f>
        <v>4614501.7539999997</v>
      </c>
      <c r="T231" s="17">
        <v>506774.64799999999</v>
      </c>
      <c r="U231" s="17">
        <v>2.7592362522414557</v>
      </c>
      <c r="AC231">
        <f t="array" ref="AC231:AD231">_xll.map_xy2gps(S230,T230,"utm",$Y$4:$Z$8,$AA$4:$AB$8)</f>
        <v>45.081315294954422</v>
      </c>
      <c r="AD231">
        <v>41.682426882726283</v>
      </c>
    </row>
    <row r="232" spans="16:30" ht="22.5" customHeight="1" x14ac:dyDescent="0.15">
      <c r="P232" s="17">
        <v>6280</v>
      </c>
      <c r="Q232" s="17">
        <v>0</v>
      </c>
      <c r="R232" s="17">
        <v>90</v>
      </c>
      <c r="S232" s="17">
        <f t="array" ref="S232:U232">_xll.hdm_k2xy_data(P232,Q232,R232,$G$3:$N$75)</f>
        <v>4614483.2620000001</v>
      </c>
      <c r="T232" s="17">
        <v>506782.26500000001</v>
      </c>
      <c r="U232" s="17">
        <v>2.7425695855747891</v>
      </c>
      <c r="AC232">
        <f t="array" ref="AC232:AD232">_xll.map_xy2gps(S231,T231,"utm",$Y$4:$Z$8,$AA$4:$AB$8)</f>
        <v>45.081402878403061</v>
      </c>
      <c r="AD232">
        <v>41.682259134311565</v>
      </c>
    </row>
    <row r="233" spans="16:30" ht="22.5" customHeight="1" x14ac:dyDescent="0.15">
      <c r="P233" s="17">
        <v>6300</v>
      </c>
      <c r="Q233" s="17">
        <v>0</v>
      </c>
      <c r="R233" s="17">
        <v>90</v>
      </c>
      <c r="S233" s="17">
        <f t="array" ref="S233:U233">_xll.hdm_k2xy_data(P233,Q233,R233,$G$3:$N$75)</f>
        <v>4614464.898</v>
      </c>
      <c r="T233" s="17">
        <v>506790.18800000002</v>
      </c>
      <c r="U233" s="17">
        <v>2.7259029189081221</v>
      </c>
      <c r="AC233">
        <f t="array" ref="AC233:AD233">_xll.map_xy2gps(S232,T232,"utm",$Y$4:$Z$8,$AA$4:$AB$8)</f>
        <v>45.081494187497242</v>
      </c>
      <c r="AD233">
        <v>41.682092509079901</v>
      </c>
    </row>
    <row r="234" spans="16:30" ht="22.5" customHeight="1" x14ac:dyDescent="0.15">
      <c r="P234" s="17">
        <v>6320</v>
      </c>
      <c r="Q234" s="17">
        <v>0</v>
      </c>
      <c r="R234" s="17">
        <v>90</v>
      </c>
      <c r="S234" s="17">
        <f t="array" ref="S234:U234">_xll.hdm_k2xy_data(P234,Q234,R234,$G$3:$N$75)</f>
        <v>4614446.67</v>
      </c>
      <c r="T234" s="17">
        <v>506798.41700000002</v>
      </c>
      <c r="U234" s="17">
        <v>2.7092362522414555</v>
      </c>
      <c r="AC234">
        <f t="array" ref="AC234:AD234">_xll.map_xy2gps(S233,T233,"utm",$Y$4:$Z$8,$AA$4:$AB$8)</f>
        <v>45.081589174186725</v>
      </c>
      <c r="AD234">
        <v>41.681927034078115</v>
      </c>
    </row>
    <row r="235" spans="16:30" ht="22.5" customHeight="1" x14ac:dyDescent="0.15">
      <c r="P235" s="17">
        <v>6340</v>
      </c>
      <c r="Q235" s="17">
        <v>0</v>
      </c>
      <c r="R235" s="17">
        <v>90</v>
      </c>
      <c r="S235" s="17">
        <f t="array" ref="S235:U235">_xll.hdm_k2xy_data(P235,Q235,R235,$G$3:$N$75)</f>
        <v>4614428.5810000002</v>
      </c>
      <c r="T235" s="17">
        <v>506806.94799999997</v>
      </c>
      <c r="U235" s="17">
        <v>2.6925695855747889</v>
      </c>
      <c r="AC235">
        <f t="array" ref="AC235:AD235">_xll.map_xy2gps(S234,T234,"utm",$Y$4:$Z$8,$AA$4:$AB$8)</f>
        <v>45.081687838539423</v>
      </c>
      <c r="AD235">
        <v>41.6817627813545</v>
      </c>
    </row>
    <row r="236" spans="16:30" ht="22.5" customHeight="1" x14ac:dyDescent="0.15">
      <c r="P236" s="17">
        <v>6360</v>
      </c>
      <c r="Q236" s="17">
        <v>0</v>
      </c>
      <c r="R236" s="17">
        <v>90</v>
      </c>
      <c r="S236" s="17">
        <f t="array" ref="S236:U236">_xll.hdm_k2xy_data(P236,Q236,R236,$G$3:$N$75)</f>
        <v>4614410.6370000001</v>
      </c>
      <c r="T236" s="17">
        <v>506815.77899999998</v>
      </c>
      <c r="U236" s="17">
        <v>2.6759029189081223</v>
      </c>
      <c r="AC236">
        <f t="array" ref="AC236:AD236">_xll.map_xy2gps(S235,T235,"utm",$Y$4:$Z$8,$AA$4:$AB$8)</f>
        <v>45.081790132507045</v>
      </c>
      <c r="AD236">
        <v>41.68159977795537</v>
      </c>
    </row>
    <row r="237" spans="16:30" ht="22.5" customHeight="1" x14ac:dyDescent="0.15">
      <c r="P237" s="17">
        <v>6380</v>
      </c>
      <c r="Q237" s="17">
        <v>0</v>
      </c>
      <c r="R237" s="17">
        <v>90</v>
      </c>
      <c r="S237" s="17">
        <f t="array" ref="S237:U237">_xll.hdm_k2xy_data(P237,Q237,R237,$G$3:$N$75)</f>
        <v>4614392.8420000002</v>
      </c>
      <c r="T237" s="17">
        <v>506824.90899999999</v>
      </c>
      <c r="U237" s="17">
        <v>2.6592362522414557</v>
      </c>
      <c r="AC237">
        <f t="array" ref="AC237:AD237">_xll.map_xy2gps(S236,T236,"utm",$Y$4:$Z$8,$AA$4:$AB$8)</f>
        <v>45.081896032106577</v>
      </c>
      <c r="AD237">
        <v>41.68143807793124</v>
      </c>
    </row>
    <row r="238" spans="16:30" ht="22.5" customHeight="1" x14ac:dyDescent="0.15">
      <c r="P238" s="17">
        <v>6400</v>
      </c>
      <c r="Q238" s="17">
        <v>0</v>
      </c>
      <c r="R238" s="17">
        <v>90</v>
      </c>
      <c r="S238" s="17">
        <f t="array" ref="S238:U238">_xll.hdm_k2xy_data(P238,Q238,R238,$G$3:$N$75)</f>
        <v>4614375.2019999996</v>
      </c>
      <c r="T238" s="17">
        <v>506834.33299999998</v>
      </c>
      <c r="U238" s="17">
        <v>2.642569585574789</v>
      </c>
      <c r="AC238">
        <f t="array" ref="AC238:AD238">_xll.map_xy2gps(S237,T237,"utm",$Y$4:$Z$8,$AA$4:$AB$8)</f>
        <v>45.082005525348123</v>
      </c>
      <c r="AD238">
        <v>41.681277717309499</v>
      </c>
    </row>
    <row r="239" spans="16:30" ht="22.5" customHeight="1" x14ac:dyDescent="0.15">
      <c r="P239" s="17">
        <v>6420</v>
      </c>
      <c r="Q239" s="17">
        <v>0</v>
      </c>
      <c r="R239" s="17">
        <v>90</v>
      </c>
      <c r="S239" s="17">
        <f t="array" ref="S239:U239">_xll.hdm_k2xy_data(P239,Q239,R239,$G$3:$N$75)</f>
        <v>4614357.7220000001</v>
      </c>
      <c r="T239" s="17">
        <v>506844.05</v>
      </c>
      <c r="U239" s="17">
        <v>2.6259029189081224</v>
      </c>
      <c r="AC239">
        <f t="array" ref="AC239:AD239">_xll.map_xy2gps(S238,T238,"utm",$Y$4:$Z$8,$AA$4:$AB$8)</f>
        <v>45.082118552205827</v>
      </c>
      <c r="AD239">
        <v>41.681118750165872</v>
      </c>
    </row>
    <row r="240" spans="16:30" ht="22.5" customHeight="1" x14ac:dyDescent="0.15">
      <c r="P240" s="17">
        <v>6440</v>
      </c>
      <c r="Q240" s="17">
        <v>0</v>
      </c>
      <c r="R240" s="17">
        <v>90</v>
      </c>
      <c r="S240" s="17">
        <f t="array" ref="S240:U240">_xll.hdm_k2xy_data(P240,Q240,R240,$G$3:$N$75)</f>
        <v>4614340.4060000004</v>
      </c>
      <c r="T240" s="17">
        <v>506854.05800000002</v>
      </c>
      <c r="U240" s="17">
        <v>2.6092362522414554</v>
      </c>
      <c r="AC240">
        <f t="array" ref="AC240:AD240">_xll.map_xy2gps(S239,T239,"utm",$Y$4:$Z$8,$AA$4:$AB$8)</f>
        <v>45.082235100703308</v>
      </c>
      <c r="AD240">
        <v>41.68096122153446</v>
      </c>
    </row>
    <row r="241" spans="16:30" ht="22.5" customHeight="1" x14ac:dyDescent="0.15">
      <c r="P241" s="17">
        <v>6460</v>
      </c>
      <c r="Q241" s="17">
        <v>0</v>
      </c>
      <c r="R241" s="17">
        <v>90</v>
      </c>
      <c r="S241" s="17">
        <f t="array" ref="S241:U241">_xll.hdm_k2xy_data(P241,Q241,R241,$G$3:$N$75)</f>
        <v>4614323.2589999996</v>
      </c>
      <c r="T241" s="17">
        <v>506864.35200000001</v>
      </c>
      <c r="U241" s="17">
        <v>2.5925695855747888</v>
      </c>
      <c r="AC241">
        <f t="array" ref="AC241:AD241">_xll.map_xy2gps(S240,T240,"utm",$Y$4:$Z$8,$AA$4:$AB$8)</f>
        <v>45.0823551468388</v>
      </c>
      <c r="AD241">
        <v>41.680805167450579</v>
      </c>
    </row>
    <row r="242" spans="16:30" ht="22.5" customHeight="1" x14ac:dyDescent="0.15">
      <c r="P242" s="17">
        <v>6480</v>
      </c>
      <c r="Q242" s="17">
        <v>0</v>
      </c>
      <c r="R242" s="17">
        <v>90</v>
      </c>
      <c r="S242" s="17">
        <f t="array" ref="S242:U242">_xll.hdm_k2xy_data(P242,Q242,R242,$G$3:$N$75)</f>
        <v>4614306.2860000003</v>
      </c>
      <c r="T242" s="17">
        <v>506874.93099999998</v>
      </c>
      <c r="U242" s="17">
        <v>2.5759029189081222</v>
      </c>
      <c r="AC242">
        <f t="array" ref="AC242:AD242">_xll.map_xy2gps(S241,T241,"utm",$Y$4:$Z$8,$AA$4:$AB$8)</f>
        <v>45.082478630578493</v>
      </c>
      <c r="AD242">
        <v>41.680650632982285</v>
      </c>
    </row>
    <row r="243" spans="16:30" ht="22.5" customHeight="1" x14ac:dyDescent="0.15">
      <c r="P243" s="17">
        <v>6500</v>
      </c>
      <c r="Q243" s="17">
        <v>0</v>
      </c>
      <c r="R243" s="17">
        <v>90</v>
      </c>
      <c r="S243" s="17">
        <f t="array" ref="S243:U243">_xll.hdm_k2xy_data(P243,Q243,R243,$G$3:$N$75)</f>
        <v>4614289.4910000004</v>
      </c>
      <c r="T243" s="17">
        <v>506885.79100000003</v>
      </c>
      <c r="U243" s="17">
        <v>2.5592362522414556</v>
      </c>
      <c r="AC243">
        <f t="array" ref="AC243:AD243">_xll.map_xy2gps(S242,T242,"utm",$Y$4:$Z$8,$AA$4:$AB$8)</f>
        <v>45.082605539949185</v>
      </c>
      <c r="AD243">
        <v>41.680497663163095</v>
      </c>
    </row>
    <row r="244" spans="16:30" ht="22.5" customHeight="1" x14ac:dyDescent="0.15">
      <c r="P244" s="17">
        <v>6520</v>
      </c>
      <c r="Q244" s="17">
        <v>0</v>
      </c>
      <c r="R244" s="17">
        <v>90</v>
      </c>
      <c r="S244" s="17">
        <f t="array" ref="S244:U244">_xll.hdm_k2xy_data(P244,Q244,R244,$G$3:$N$75)</f>
        <v>4614272.8810000001</v>
      </c>
      <c r="T244" s="17">
        <v>506896.93</v>
      </c>
      <c r="U244" s="17">
        <v>2.542569585574789</v>
      </c>
      <c r="AC244">
        <f t="array" ref="AC244:AD244">_xll.map_xy2gps(S243,T243,"utm",$Y$4:$Z$8,$AA$4:$AB$8)</f>
        <v>45.082735826922786</v>
      </c>
      <c r="AD244">
        <v>41.680346294045023</v>
      </c>
    </row>
    <row r="245" spans="16:30" ht="22.5" customHeight="1" x14ac:dyDescent="0.15">
      <c r="P245" s="17">
        <v>6540</v>
      </c>
      <c r="Q245" s="17">
        <v>0</v>
      </c>
      <c r="R245" s="17">
        <v>90</v>
      </c>
      <c r="S245" s="17">
        <f t="array" ref="S245:U245">_xll.hdm_k2xy_data(P245,Q245,R245,$G$3:$N$75)</f>
        <v>4614256.4579999996</v>
      </c>
      <c r="T245" s="17">
        <v>506908.34299999999</v>
      </c>
      <c r="U245" s="17">
        <v>2.5259029189081224</v>
      </c>
      <c r="AC245">
        <f t="array" ref="AC245:AD245">_xll.map_xy2gps(S244,T244,"utm",$Y$4:$Z$8,$AA$4:$AB$8)</f>
        <v>45.082869467536597</v>
      </c>
      <c r="AD245">
        <v>41.680196588684176</v>
      </c>
    </row>
    <row r="246" spans="16:30" ht="22.5" customHeight="1" x14ac:dyDescent="0.15">
      <c r="P246" s="17">
        <v>6560</v>
      </c>
      <c r="Q246" s="17">
        <v>0</v>
      </c>
      <c r="R246" s="17">
        <v>90</v>
      </c>
      <c r="S246" s="17">
        <f t="array" ref="S246:U246">_xll.hdm_k2xy_data(P246,Q246,R246,$G$3:$N$75)</f>
        <v>4614240.227</v>
      </c>
      <c r="T246" s="17">
        <v>506920.02899999998</v>
      </c>
      <c r="U246" s="17">
        <v>2.5092362522414557</v>
      </c>
      <c r="AC246">
        <f t="array" ref="AC246:AD246">_xll.map_xy2gps(S245,T245,"utm",$Y$4:$Z$8,$AA$4:$AB$8)</f>
        <v>45.083006401727154</v>
      </c>
      <c r="AD246">
        <v>41.680048565126711</v>
      </c>
    </row>
    <row r="247" spans="16:30" ht="22.5" customHeight="1" x14ac:dyDescent="0.15">
      <c r="P247" s="17">
        <v>6580</v>
      </c>
      <c r="Q247" s="17">
        <v>0</v>
      </c>
      <c r="R247" s="17">
        <v>90</v>
      </c>
      <c r="S247" s="17">
        <f t="array" ref="S247:U247">_xll.hdm_k2xy_data(P247,Q247,R247,$G$3:$N$75)</f>
        <v>4614224.1940000001</v>
      </c>
      <c r="T247" s="17">
        <v>506931.984</v>
      </c>
      <c r="U247" s="17">
        <v>2.4925695855747891</v>
      </c>
      <c r="AC247">
        <f t="array" ref="AC247:AD247">_xll.map_xy2gps(S246,T246,"utm",$Y$4:$Z$8,$AA$4:$AB$8)</f>
        <v>45.083146617525777</v>
      </c>
      <c r="AD247">
        <v>41.679902268405513</v>
      </c>
    </row>
    <row r="248" spans="16:30" ht="22.5" customHeight="1" x14ac:dyDescent="0.15">
      <c r="P248" s="17">
        <v>6600</v>
      </c>
      <c r="Q248" s="17">
        <v>0</v>
      </c>
      <c r="R248" s="17">
        <v>90</v>
      </c>
      <c r="S248" s="17">
        <f t="array" ref="S248:U248">_xll.hdm_k2xy_data(P248,Q248,R248,$G$3:$N$75)</f>
        <v>4614208.3619999997</v>
      </c>
      <c r="T248" s="17">
        <v>506944.20500000002</v>
      </c>
      <c r="U248" s="17">
        <v>2.4759029189081221</v>
      </c>
      <c r="AC248">
        <f t="array" ref="AC248:AD248">_xll.map_xy2gps(S247,T247,"utm",$Y$4:$Z$8,$AA$4:$AB$8)</f>
        <v>45.083290066932378</v>
      </c>
      <c r="AD248">
        <v>41.679757752586497</v>
      </c>
    </row>
    <row r="249" spans="16:30" ht="22.5" customHeight="1" x14ac:dyDescent="0.15">
      <c r="P249" s="17">
        <v>6620</v>
      </c>
      <c r="Q249" s="17">
        <v>0</v>
      </c>
      <c r="R249" s="17">
        <v>90</v>
      </c>
      <c r="S249" s="17">
        <f t="array" ref="S249:U249">_xll.hdm_k2xy_data(P249,Q249,R249,$G$3:$N$75)</f>
        <v>4614192.7350000003</v>
      </c>
      <c r="T249" s="17">
        <v>506956.68699999998</v>
      </c>
      <c r="U249" s="17">
        <v>2.4592362522414555</v>
      </c>
      <c r="AC249">
        <f t="array" ref="AC249:AD249">_xll.map_xy2gps(S248,T248,"utm",$Y$4:$Z$8,$AA$4:$AB$8)</f>
        <v>45.083436713928101</v>
      </c>
      <c r="AD249">
        <v>41.679615044705336</v>
      </c>
    </row>
    <row r="250" spans="16:30" ht="22.5" customHeight="1" x14ac:dyDescent="0.15">
      <c r="P250" s="17">
        <v>6640</v>
      </c>
      <c r="Q250" s="17">
        <v>0</v>
      </c>
      <c r="R250" s="17">
        <v>90</v>
      </c>
      <c r="S250" s="17">
        <f t="array" ref="S250:U250">_xll.hdm_k2xy_data(P250,Q250,R250,$G$3:$N$75)</f>
        <v>4614177.3190000001</v>
      </c>
      <c r="T250" s="17">
        <v>506969.42800000001</v>
      </c>
      <c r="U250" s="17">
        <v>2.4425695855747889</v>
      </c>
      <c r="AC250">
        <f t="array" ref="AC250:AD250">_xll.map_xy2gps(S249,T249,"utm",$Y$4:$Z$8,$AA$4:$AB$8)</f>
        <v>45.083586498477601</v>
      </c>
      <c r="AD250">
        <v>41.679474180822304</v>
      </c>
    </row>
    <row r="251" spans="16:30" ht="22.5" customHeight="1" x14ac:dyDescent="0.15">
      <c r="P251" s="17">
        <v>6660</v>
      </c>
      <c r="Q251" s="17">
        <v>0</v>
      </c>
      <c r="R251" s="17">
        <v>90</v>
      </c>
      <c r="S251" s="17">
        <f t="array" ref="S251:U251">_xll.hdm_k2xy_data(P251,Q251,R251,$G$3:$N$75)</f>
        <v>4614162.1179999998</v>
      </c>
      <c r="T251" s="17">
        <v>506982.42499999999</v>
      </c>
      <c r="U251" s="17">
        <v>2.4259029189081223</v>
      </c>
      <c r="AC251">
        <f t="array" ref="AC251:AD251">_xll.map_xy2gps(S250,T250,"utm",$Y$4:$Z$8,$AA$4:$AB$8)</f>
        <v>45.083739396614014</v>
      </c>
      <c r="AD251">
        <v>41.679335214985706</v>
      </c>
    </row>
    <row r="252" spans="16:30" ht="22.5" customHeight="1" x14ac:dyDescent="0.15">
      <c r="P252" s="17">
        <v>6680</v>
      </c>
      <c r="Q252" s="17">
        <v>0</v>
      </c>
      <c r="R252" s="17">
        <v>90</v>
      </c>
      <c r="S252" s="17">
        <f t="array" ref="S252:U252">_xll.hdm_k2xy_data(P252,Q252,R252,$G$3:$N$75)</f>
        <v>4614147.1349999998</v>
      </c>
      <c r="T252" s="17">
        <v>506995.67300000001</v>
      </c>
      <c r="U252" s="17">
        <v>2.4092362522414557</v>
      </c>
      <c r="AC252">
        <f t="array" ref="AC252:AD252">_xll.map_xy2gps(S251,T251,"utm",$Y$4:$Z$8,$AA$4:$AB$8)</f>
        <v>45.083895372333821</v>
      </c>
      <c r="AD252">
        <v>41.679198183238285</v>
      </c>
    </row>
    <row r="253" spans="16:30" ht="22.5" customHeight="1" x14ac:dyDescent="0.15">
      <c r="P253" s="17">
        <v>6700</v>
      </c>
      <c r="Q253" s="17">
        <v>0</v>
      </c>
      <c r="R253" s="17">
        <v>90</v>
      </c>
      <c r="S253" s="17">
        <f t="array" ref="S253:U253">_xll.hdm_k2xy_data(P253,Q253,R253,$G$3:$N$75)</f>
        <v>4614132.375</v>
      </c>
      <c r="T253" s="17">
        <v>507009.16899999999</v>
      </c>
      <c r="U253" s="17">
        <v>2.392569585574789</v>
      </c>
      <c r="AC253">
        <f t="array" ref="AC253:AD253">_xll.map_xy2gps(S252,T252,"utm",$Y$4:$Z$8,$AA$4:$AB$8)</f>
        <v>45.0840543655939</v>
      </c>
      <c r="AD253">
        <v>41.679063112633017</v>
      </c>
    </row>
    <row r="254" spans="16:30" ht="22.5" customHeight="1" x14ac:dyDescent="0.15">
      <c r="P254" s="17">
        <v>6720</v>
      </c>
      <c r="Q254" s="17">
        <v>0</v>
      </c>
      <c r="R254" s="17">
        <v>90</v>
      </c>
      <c r="S254" s="17">
        <f t="array" ref="S254:U254">_xll.hdm_k2xy_data(P254,Q254,R254,$G$3:$N$75)</f>
        <v>4614117.8420000002</v>
      </c>
      <c r="T254" s="17">
        <v>507022.908</v>
      </c>
      <c r="U254" s="17">
        <v>2.3759029189081224</v>
      </c>
      <c r="AC254">
        <f t="array" ref="AC254:AD254">_xll.map_xy2gps(S253,T253,"utm",$Y$4:$Z$8,$AA$4:$AB$8)</f>
        <v>45.084216340404936</v>
      </c>
      <c r="AD254">
        <v>41.678930048219776</v>
      </c>
    </row>
    <row r="255" spans="16:30" ht="22.5" customHeight="1" x14ac:dyDescent="0.15">
      <c r="P255" s="17">
        <v>6740</v>
      </c>
      <c r="Q255" s="17">
        <v>0</v>
      </c>
      <c r="R255" s="17">
        <v>90</v>
      </c>
      <c r="S255" s="17">
        <f t="array" ref="S255:U255">_xll.hdm_k2xy_data(P255,Q255,R255,$G$3:$N$75)</f>
        <v>4614103.54</v>
      </c>
      <c r="T255" s="17">
        <v>507036.88900000002</v>
      </c>
      <c r="U255" s="17">
        <v>2.3592362522414554</v>
      </c>
      <c r="AC255">
        <f t="array" ref="AC255:AD255">_xll.map_xy2gps(S254,T254,"utm",$Y$4:$Z$8,$AA$4:$AB$8)</f>
        <v>45.084381236738231</v>
      </c>
      <c r="AD255">
        <v>41.678799026058847</v>
      </c>
    </row>
    <row r="256" spans="16:30" ht="22.5" customHeight="1" x14ac:dyDescent="0.15">
      <c r="P256" s="17">
        <v>6760</v>
      </c>
      <c r="Q256" s="17">
        <v>0</v>
      </c>
      <c r="R256" s="17">
        <v>90</v>
      </c>
      <c r="S256" s="17">
        <f t="array" ref="S256:U256">_xll.hdm_k2xy_data(P256,Q256,R256,$G$3:$N$75)</f>
        <v>4614089.4730000002</v>
      </c>
      <c r="T256" s="17">
        <v>507051.10499999998</v>
      </c>
      <c r="U256" s="17">
        <v>2.3425695855747888</v>
      </c>
      <c r="AC256">
        <f t="array" ref="AC256:AD256">_xll.map_xy2gps(S255,T255,"utm",$Y$4:$Z$8,$AA$4:$AB$8)</f>
        <v>45.084549042624289</v>
      </c>
      <c r="AD256">
        <v>41.678670082175287</v>
      </c>
    </row>
    <row r="257" spans="16:30" ht="22.5" customHeight="1" x14ac:dyDescent="0.15">
      <c r="P257" s="17">
        <v>6780</v>
      </c>
      <c r="Q257" s="17">
        <v>0</v>
      </c>
      <c r="R257" s="17">
        <v>90</v>
      </c>
      <c r="S257" s="17">
        <f t="array" ref="S257:U257">_xll.hdm_k2xy_data(P257,Q257,R257,$G$3:$N$75)</f>
        <v>4614075.6449999996</v>
      </c>
      <c r="T257" s="17">
        <v>507065.554</v>
      </c>
      <c r="U257" s="17">
        <v>2.3259029189081222</v>
      </c>
      <c r="AC257">
        <f t="array" ref="AC257:AD257">_xll.map_xy2gps(S256,T256,"utm",$Y$4:$Z$8,$AA$4:$AB$8)</f>
        <v>45.084719674008049</v>
      </c>
      <c r="AD257">
        <v>41.678543252647131</v>
      </c>
    </row>
    <row r="258" spans="16:30" ht="22.5" customHeight="1" x14ac:dyDescent="0.15">
      <c r="P258" s="17">
        <v>6800</v>
      </c>
      <c r="Q258" s="17">
        <v>0</v>
      </c>
      <c r="R258" s="17">
        <v>90</v>
      </c>
      <c r="S258" s="17">
        <f t="array" ref="S258:U258">_xll.hdm_k2xy_data(P258,Q258,R258,$G$3:$N$75)</f>
        <v>4614062.0599999996</v>
      </c>
      <c r="T258" s="17">
        <v>507080.23200000002</v>
      </c>
      <c r="U258" s="17">
        <v>2.3092362522414556</v>
      </c>
      <c r="AC258">
        <f t="array" ref="AC258:AD258">_xll.map_xy2gps(S257,T257,"utm",$Y$4:$Z$8,$AA$4:$AB$8)</f>
        <v>45.084893106908098</v>
      </c>
      <c r="AD258">
        <v>41.678418573508331</v>
      </c>
    </row>
    <row r="259" spans="16:30" ht="22.5" customHeight="1" x14ac:dyDescent="0.15">
      <c r="P259" s="17">
        <v>6820</v>
      </c>
      <c r="Q259" s="17">
        <v>0</v>
      </c>
      <c r="R259" s="17">
        <v>90</v>
      </c>
      <c r="S259" s="17">
        <f t="array" ref="S259:U259">_xll.hdm_k2xy_data(P259,Q259,R259,$G$3:$N$75)</f>
        <v>4614048.7209999999</v>
      </c>
      <c r="T259" s="17">
        <v>507095.13400000002</v>
      </c>
      <c r="U259" s="17">
        <v>2.292569585574789</v>
      </c>
      <c r="AC259">
        <f t="array" ref="AC259:AD259">_xll.map_xy2gps(S258,T258,"utm",$Y$4:$Z$8,$AA$4:$AB$8)</f>
        <v>45.085069293315392</v>
      </c>
      <c r="AD259">
        <v>41.678296080810583</v>
      </c>
    </row>
    <row r="260" spans="16:30" ht="22.5" customHeight="1" x14ac:dyDescent="0.15">
      <c r="P260" s="17">
        <v>6840</v>
      </c>
      <c r="Q260" s="17">
        <v>0</v>
      </c>
      <c r="R260" s="17">
        <v>90</v>
      </c>
      <c r="S260" s="17">
        <f t="array" ref="S260:U260">_xll.hdm_k2xy_data(P260,Q260,R260,$G$3:$N$75)</f>
        <v>4614035.6330000004</v>
      </c>
      <c r="T260" s="17">
        <v>507110.25599999999</v>
      </c>
      <c r="U260" s="17">
        <v>2.2759029189081224</v>
      </c>
      <c r="AC260">
        <f t="array" ref="AC260:AD260">_xll.map_xy2gps(S259,T259,"utm",$Y$4:$Z$8,$AA$4:$AB$8)</f>
        <v>45.085248173195943</v>
      </c>
      <c r="AD260">
        <v>41.678175801607409</v>
      </c>
    </row>
    <row r="261" spans="16:30" ht="22.5" customHeight="1" x14ac:dyDescent="0.15">
      <c r="P261" s="17">
        <v>6860</v>
      </c>
      <c r="Q261" s="17">
        <v>0</v>
      </c>
      <c r="R261" s="17">
        <v>90</v>
      </c>
      <c r="S261" s="17">
        <f t="array" ref="S261:U261">_xll.hdm_k2xy_data(P261,Q261,R261,$G$3:$N$75)</f>
        <v>4614022.7980000004</v>
      </c>
      <c r="T261" s="17">
        <v>507125.59399999998</v>
      </c>
      <c r="U261" s="17">
        <v>2.2592362522414557</v>
      </c>
      <c r="AC261">
        <f t="array" ref="AC261:AD261">_xll.map_xy2gps(S260,T260,"utm",$Y$4:$Z$8,$AA$4:$AB$8)</f>
        <v>45.08542969855521</v>
      </c>
      <c r="AD261">
        <v>41.6780577809579</v>
      </c>
    </row>
    <row r="262" spans="16:30" ht="22.5" customHeight="1" x14ac:dyDescent="0.15">
      <c r="P262" s="17">
        <v>6880</v>
      </c>
      <c r="Q262" s="17">
        <v>0</v>
      </c>
      <c r="R262" s="17">
        <v>90</v>
      </c>
      <c r="S262" s="17">
        <f t="array" ref="S262:U262">_xll.hdm_k2xy_data(P262,Q262,R262,$G$3:$N$75)</f>
        <v>4614010.22</v>
      </c>
      <c r="T262" s="17">
        <v>507141.14399999997</v>
      </c>
      <c r="U262" s="17">
        <v>2.2425695855747891</v>
      </c>
      <c r="AC262">
        <f t="array" ref="AC262:AD262">_xll.map_xy2gps(S261,T261,"utm",$Y$4:$Z$8,$AA$4:$AB$8)</f>
        <v>45.085613821364298</v>
      </c>
      <c r="AD262">
        <v>41.677942036899765</v>
      </c>
    </row>
    <row r="263" spans="16:30" ht="22.5" customHeight="1" x14ac:dyDescent="0.15">
      <c r="P263" s="17">
        <v>6900</v>
      </c>
      <c r="Q263" s="17">
        <v>0</v>
      </c>
      <c r="R263" s="17">
        <v>90</v>
      </c>
      <c r="S263" s="17">
        <f t="array" ref="S263:U263">_xll.hdm_k2xy_data(P263,Q263,R263,$G$3:$N$75)</f>
        <v>4613997.9040000001</v>
      </c>
      <c r="T263" s="17">
        <v>507156.90100000001</v>
      </c>
      <c r="U263" s="17">
        <v>2.2259029189081225</v>
      </c>
      <c r="AC263">
        <f t="array" ref="AC263:AD263">_xll.map_xy2gps(S262,T262,"utm",$Y$4:$Z$8,$AA$4:$AB$8)</f>
        <v>45.08580049361931</v>
      </c>
      <c r="AD263">
        <v>41.677828605485203</v>
      </c>
    </row>
    <row r="264" spans="16:30" ht="22.5" customHeight="1" x14ac:dyDescent="0.15">
      <c r="P264" s="17">
        <v>6920</v>
      </c>
      <c r="Q264" s="17">
        <v>0</v>
      </c>
      <c r="R264" s="17">
        <v>90</v>
      </c>
      <c r="S264" s="17">
        <f t="array" ref="S264:U264">_xll.hdm_k2xy_data(P264,Q264,R264,$G$3:$N$75)</f>
        <v>4613985.852</v>
      </c>
      <c r="T264" s="17">
        <v>507172.86200000002</v>
      </c>
      <c r="U264" s="17">
        <v>2.2092362522414555</v>
      </c>
      <c r="AC264">
        <f t="array" ref="AC264:AD264">_xll.map_xy2gps(S263,T263,"utm",$Y$4:$Z$8,$AA$4:$AB$8)</f>
        <v>45.085989655315352</v>
      </c>
      <c r="AD264">
        <v>41.677717531782683</v>
      </c>
    </row>
    <row r="265" spans="16:30" ht="22.5" customHeight="1" x14ac:dyDescent="0.15">
      <c r="P265" s="17">
        <v>6940</v>
      </c>
      <c r="Q265" s="17">
        <v>0</v>
      </c>
      <c r="R265" s="17">
        <v>90</v>
      </c>
      <c r="S265" s="17">
        <f t="array" ref="S265:U265">_xll.hdm_k2xy_data(P265,Q265,R265,$G$3:$N$75)</f>
        <v>4613974.0669999998</v>
      </c>
      <c r="T265" s="17">
        <v>507189.02100000001</v>
      </c>
      <c r="U265" s="17">
        <v>2.1925695855747889</v>
      </c>
      <c r="AC265">
        <f t="array" ref="AC265:AD265">_xll.map_xy2gps(S264,T264,"utm",$Y$4:$Z$8,$AA$4:$AB$8)</f>
        <v>45.086181270441521</v>
      </c>
      <c r="AD265">
        <v>41.677608833821395</v>
      </c>
    </row>
    <row r="266" spans="16:30" ht="22.5" customHeight="1" x14ac:dyDescent="0.15">
      <c r="P266" s="17">
        <v>6960</v>
      </c>
      <c r="Q266" s="17">
        <v>0</v>
      </c>
      <c r="R266" s="17">
        <v>90</v>
      </c>
      <c r="S266" s="17">
        <f t="array" ref="S266:U266">_xll.hdm_k2xy_data(P266,Q266,R266,$G$3:$N$75)</f>
        <v>4613962.5539999995</v>
      </c>
      <c r="T266" s="17">
        <v>507205.37400000001</v>
      </c>
      <c r="U266" s="17">
        <v>2.1759029189081223</v>
      </c>
      <c r="AC266">
        <f t="array" ref="AC266:AD266">_xll.map_xy2gps(S265,T265,"utm",$Y$4:$Z$8,$AA$4:$AB$8)</f>
        <v>45.086375266957219</v>
      </c>
      <c r="AD266">
        <v>41.677502538664854</v>
      </c>
    </row>
    <row r="267" spans="16:30" ht="22.5" customHeight="1" x14ac:dyDescent="0.15">
      <c r="P267" s="17">
        <v>6980</v>
      </c>
      <c r="Q267" s="17">
        <v>0</v>
      </c>
      <c r="R267" s="17">
        <v>90</v>
      </c>
      <c r="S267" s="17">
        <f t="array" ref="S267:U267">_xll.hdm_k2xy_data(P267,Q267,R267,$G$3:$N$75)</f>
        <v>4613951.3140000002</v>
      </c>
      <c r="T267" s="17">
        <v>507221.91700000002</v>
      </c>
      <c r="U267" s="17">
        <v>2.1592362522414557</v>
      </c>
      <c r="AC267">
        <f t="array" ref="AC267:AD267">_xll.map_xy2gps(S266,T266,"utm",$Y$4:$Z$8,$AA$4:$AB$8)</f>
        <v>45.086571596875743</v>
      </c>
      <c r="AD267">
        <v>41.677398691373142</v>
      </c>
    </row>
    <row r="268" spans="16:30" ht="22.5" customHeight="1" x14ac:dyDescent="0.15">
      <c r="P268" s="17">
        <v>7000</v>
      </c>
      <c r="Q268" s="17">
        <v>0</v>
      </c>
      <c r="R268" s="17">
        <v>90</v>
      </c>
      <c r="S268" s="17">
        <f t="array" ref="S268:U268">_xll.hdm_k2xy_data(P268,Q268,R268,$G$3:$N$75)</f>
        <v>4613940.352</v>
      </c>
      <c r="T268" s="17">
        <v>507238.64500000002</v>
      </c>
      <c r="U268" s="17">
        <v>2.142569585574789</v>
      </c>
      <c r="AC268">
        <f t="array" ref="AC268:AD268">_xll.map_xy2gps(S267,T267,"utm",$Y$4:$Z$8,$AA$4:$AB$8)</f>
        <v>45.086770212163415</v>
      </c>
      <c r="AD268">
        <v>41.677297300977884</v>
      </c>
    </row>
    <row r="269" spans="16:30" ht="22.5" customHeight="1" x14ac:dyDescent="0.15">
      <c r="P269" s="17">
        <v>7020</v>
      </c>
      <c r="Q269" s="17">
        <v>0</v>
      </c>
      <c r="R269" s="17">
        <v>90</v>
      </c>
      <c r="S269" s="17">
        <f t="array" ref="S269:U269">_xll.hdm_k2xy_data(P269,Q269,R269,$G$3:$N$75)</f>
        <v>4613929.67</v>
      </c>
      <c r="T269" s="17">
        <v>507255.55300000001</v>
      </c>
      <c r="U269" s="17">
        <v>2.1259029189081224</v>
      </c>
      <c r="AC269">
        <f t="array" ref="AC269:AD269">_xll.map_xy2gps(S268,T268,"utm",$Y$4:$Z$8,$AA$4:$AB$8)</f>
        <v>45.086971052821802</v>
      </c>
      <c r="AD269">
        <v>41.677198412548606</v>
      </c>
    </row>
    <row r="270" spans="16:30" ht="22.5" customHeight="1" x14ac:dyDescent="0.15">
      <c r="P270" s="17">
        <v>7040</v>
      </c>
      <c r="Q270" s="17">
        <v>0</v>
      </c>
      <c r="R270" s="17">
        <v>90</v>
      </c>
      <c r="S270" s="17">
        <f t="array" ref="S270:U270">_xll.hdm_k2xy_data(P270,Q270,R270,$G$3:$N$75)</f>
        <v>4613919.2719999999</v>
      </c>
      <c r="T270" s="17">
        <v>507272.63699999999</v>
      </c>
      <c r="U270" s="17">
        <v>2.1092362522414554</v>
      </c>
      <c r="AC270">
        <f t="array" ref="AC270:AD270">_xll.map_xy2gps(S269,T269,"utm",$Y$4:$Z$8,$AA$4:$AB$8)</f>
        <v>45.087174058817475</v>
      </c>
      <c r="AD270">
        <v>41.677102044133647</v>
      </c>
    </row>
    <row r="271" spans="16:30" ht="22.5" customHeight="1" x14ac:dyDescent="0.15">
      <c r="P271" s="17">
        <v>7060</v>
      </c>
      <c r="Q271" s="17">
        <v>0</v>
      </c>
      <c r="R271" s="17">
        <v>90</v>
      </c>
      <c r="S271" s="17">
        <f t="array" ref="S271:U271">_xll.hdm_k2xy_data(P271,Q271,R271,$G$3:$N$75)</f>
        <v>4613909.16</v>
      </c>
      <c r="T271" s="17">
        <v>507289.89199999999</v>
      </c>
      <c r="U271" s="17">
        <v>2.0925695855747888</v>
      </c>
      <c r="AC271">
        <f t="array" ref="AC271:AD271">_xll.map_xy2gps(S270,T270,"utm",$Y$4:$Z$8,$AA$4:$AB$8)</f>
        <v>45.087379182156575</v>
      </c>
      <c r="AD271">
        <v>41.677008231786871</v>
      </c>
    </row>
    <row r="272" spans="16:30" ht="22.5" customHeight="1" x14ac:dyDescent="0.15">
      <c r="P272" s="17">
        <v>7080</v>
      </c>
      <c r="Q272" s="17">
        <v>0</v>
      </c>
      <c r="R272" s="17">
        <v>90</v>
      </c>
      <c r="S272" s="17">
        <f t="array" ref="S272:U272">_xll.hdm_k2xy_data(P272,Q272,R272,$G$3:$N$75)</f>
        <v>4613899.3360000001</v>
      </c>
      <c r="T272" s="17">
        <v>507307.31300000002</v>
      </c>
      <c r="U272" s="17">
        <v>2.0759029189081222</v>
      </c>
      <c r="AC272">
        <f t="array" ref="AC272:AD272">_xll.map_xy2gps(S271,T271,"utm",$Y$4:$Z$8,$AA$4:$AB$8)</f>
        <v>45.087586362807976</v>
      </c>
      <c r="AD272">
        <v>41.676916993557128</v>
      </c>
    </row>
    <row r="273" spans="16:30" ht="22.5" customHeight="1" x14ac:dyDescent="0.15">
      <c r="P273" s="17">
        <v>7100</v>
      </c>
      <c r="Q273" s="17">
        <v>0</v>
      </c>
      <c r="R273" s="17">
        <v>90</v>
      </c>
      <c r="S273" s="17">
        <f t="array" ref="S273:U273">_xll.hdm_k2xy_data(P273,Q273,R273,$G$3:$N$75)</f>
        <v>4613889.8039999995</v>
      </c>
      <c r="T273" s="17">
        <v>507324.89500000002</v>
      </c>
      <c r="U273" s="17">
        <v>2.0592362522414556</v>
      </c>
      <c r="AC273">
        <f t="array" ref="AC273:AD273">_xll.map_xy2gps(S272,T272,"utm",$Y$4:$Z$8,$AA$4:$AB$8)</f>
        <v>45.087795540741581</v>
      </c>
      <c r="AD273">
        <v>41.676828347493625</v>
      </c>
    </row>
    <row r="274" spans="16:30" ht="22.5" customHeight="1" x14ac:dyDescent="0.15">
      <c r="P274" s="17">
        <v>7120</v>
      </c>
      <c r="Q274" s="17">
        <v>0</v>
      </c>
      <c r="R274" s="17">
        <v>90</v>
      </c>
      <c r="S274" s="17">
        <f t="array" ref="S274:U274">_xll.hdm_k2xy_data(P274,Q274,R274,$G$3:$N$75)</f>
        <v>4613880.5669999998</v>
      </c>
      <c r="T274" s="17">
        <v>507342.63400000002</v>
      </c>
      <c r="U274" s="17">
        <v>2.042569585574789</v>
      </c>
      <c r="AC274">
        <f t="array" ref="AC274:AD274">_xll.map_xy2gps(S273,T273,"utm",$Y$4:$Z$8,$AA$4:$AB$8)</f>
        <v>45.08800665595291</v>
      </c>
      <c r="AD274">
        <v>41.676742329660193</v>
      </c>
    </row>
    <row r="275" spans="16:30" ht="22.5" customHeight="1" x14ac:dyDescent="0.15">
      <c r="P275" s="17">
        <v>7140</v>
      </c>
      <c r="Q275" s="17">
        <v>0</v>
      </c>
      <c r="R275" s="17">
        <v>90</v>
      </c>
      <c r="S275" s="17">
        <f t="array" ref="S275:U275">_xll.hdm_k2xy_data(P275,Q275,R275,$G$3:$N$75)</f>
        <v>4613871.6270000003</v>
      </c>
      <c r="T275" s="17">
        <v>507360.52399999998</v>
      </c>
      <c r="U275" s="17">
        <v>2.0259029189081224</v>
      </c>
      <c r="AC275">
        <f t="array" ref="AC275:AD275">_xll.map_xy2gps(S274,T274,"utm",$Y$4:$Z$8,$AA$4:$AB$8)</f>
        <v>45.088219660440508</v>
      </c>
      <c r="AD275">
        <v>41.676658967104672</v>
      </c>
    </row>
    <row r="276" spans="16:30" ht="22.5" customHeight="1" x14ac:dyDescent="0.15">
      <c r="P276" s="17">
        <v>7160</v>
      </c>
      <c r="Q276" s="17">
        <v>0</v>
      </c>
      <c r="R276" s="17">
        <v>90</v>
      </c>
      <c r="S276" s="17">
        <f t="array" ref="S276:U276">_xll.hdm_k2xy_data(P276,Q276,R276,$G$3:$N$75)</f>
        <v>4613862.9859999996</v>
      </c>
      <c r="T276" s="17">
        <v>507378.56099999999</v>
      </c>
      <c r="U276" s="17">
        <v>2.0092362522414557</v>
      </c>
      <c r="AC276">
        <f t="array" ref="AC276:AD276">_xll.map_xy2gps(S275,T275,"utm",$Y$4:$Z$8,$AA$4:$AB$8)</f>
        <v>45.088434482163542</v>
      </c>
      <c r="AD276">
        <v>41.676578277886414</v>
      </c>
    </row>
    <row r="277" spans="16:30" ht="22.5" customHeight="1" x14ac:dyDescent="0.15">
      <c r="P277" s="17">
        <v>7180</v>
      </c>
      <c r="Q277" s="17">
        <v>0</v>
      </c>
      <c r="R277" s="17">
        <v>90</v>
      </c>
      <c r="S277" s="17">
        <f t="array" ref="S277:U277">_xll.hdm_k2xy_data(P277,Q277,R277,$G$3:$N$75)</f>
        <v>4613854.6459999997</v>
      </c>
      <c r="T277" s="17">
        <v>507396.739</v>
      </c>
      <c r="U277" s="17">
        <v>1.9925695855747889</v>
      </c>
      <c r="AC277">
        <f t="array" ref="AC277:AD277">_xll.map_xy2gps(S276,T276,"utm",$Y$4:$Z$8,$AA$4:$AB$8)</f>
        <v>45.088651073110363</v>
      </c>
      <c r="AD277">
        <v>41.676500280046731</v>
      </c>
    </row>
    <row r="278" spans="16:30" ht="22.5" customHeight="1" x14ac:dyDescent="0.15">
      <c r="P278" s="17">
        <v>7200</v>
      </c>
      <c r="Q278" s="17">
        <v>0</v>
      </c>
      <c r="R278" s="17">
        <v>90</v>
      </c>
      <c r="S278" s="17">
        <f t="array" ref="S278:U278">_xll.hdm_k2xy_data(P278,Q278,R278,$G$3:$N$75)</f>
        <v>4613846.6109999996</v>
      </c>
      <c r="T278" s="17">
        <v>507415.054</v>
      </c>
      <c r="U278" s="17">
        <v>1.9759029189081223</v>
      </c>
      <c r="AC278">
        <f t="array" ref="AC278:AD278">_xll.map_xy2gps(S277,T277,"utm",$Y$4:$Z$8,$AA$4:$AB$8)</f>
        <v>45.088869361242111</v>
      </c>
      <c r="AD278">
        <v>41.676424991645796</v>
      </c>
    </row>
    <row r="279" spans="16:30" ht="22.5" customHeight="1" x14ac:dyDescent="0.15">
      <c r="P279" s="17">
        <v>7220</v>
      </c>
      <c r="Q279" s="17">
        <v>0</v>
      </c>
      <c r="R279" s="17">
        <v>90</v>
      </c>
      <c r="S279" s="17">
        <f t="array" ref="S279:U279">_xll.hdm_k2xy_data(P279,Q279,R279,$G$3:$N$75)</f>
        <v>4613838.8820000002</v>
      </c>
      <c r="T279" s="17">
        <v>507433.5</v>
      </c>
      <c r="U279" s="17">
        <v>1.9592362522414555</v>
      </c>
      <c r="AC279">
        <f t="array" ref="AC279:AD279">_xll.map_xy2gps(S278,T278,"utm",$Y$4:$Z$8,$AA$4:$AB$8)</f>
        <v>45.089089298573882</v>
      </c>
      <c r="AD279">
        <v>41.676352448739898</v>
      </c>
    </row>
    <row r="280" spans="16:30" ht="22.5" customHeight="1" x14ac:dyDescent="0.15">
      <c r="P280" s="17">
        <v>7240</v>
      </c>
      <c r="Q280" s="17">
        <v>0</v>
      </c>
      <c r="R280" s="17">
        <v>90</v>
      </c>
      <c r="S280" s="17">
        <f t="array" ref="S280:U280">_xll.hdm_k2xy_data(P280,Q280,R280,$G$3:$N$75)</f>
        <v>4613831.4620000003</v>
      </c>
      <c r="T280" s="17">
        <v>507452.07199999999</v>
      </c>
      <c r="U280" s="17">
        <v>1.9425695855747889</v>
      </c>
      <c r="AC280">
        <f t="array" ref="AC280:AD280">_xll.map_xy2gps(S279,T279,"utm",$Y$4:$Z$8,$AA$4:$AB$8)</f>
        <v>45.089310813056507</v>
      </c>
      <c r="AD280">
        <v>41.676282660382846</v>
      </c>
    </row>
    <row r="281" spans="16:30" ht="22.5" customHeight="1" x14ac:dyDescent="0.15">
      <c r="P281" s="17">
        <v>7260</v>
      </c>
      <c r="Q281" s="17">
        <v>0</v>
      </c>
      <c r="R281" s="17">
        <v>90</v>
      </c>
      <c r="S281" s="17">
        <f t="array" ref="S281:U281">_xll.hdm_k2xy_data(P281,Q281,R281,$G$3:$N$75)</f>
        <v>4613824.352</v>
      </c>
      <c r="T281" s="17">
        <v>507470.76500000001</v>
      </c>
      <c r="U281" s="17">
        <v>1.9259029189081223</v>
      </c>
      <c r="AC281">
        <f t="array" ref="AC281:AD281">_xll.map_xy2gps(S280,T280,"utm",$Y$4:$Z$8,$AA$4:$AB$8)</f>
        <v>45.089533844680616</v>
      </c>
      <c r="AD281">
        <v>41.676215653633882</v>
      </c>
    </row>
    <row r="282" spans="16:30" ht="22.5" customHeight="1" x14ac:dyDescent="0.15">
      <c r="P282" s="17">
        <v>7280</v>
      </c>
      <c r="Q282" s="17">
        <v>0</v>
      </c>
      <c r="R282" s="17">
        <v>90</v>
      </c>
      <c r="S282" s="17">
        <f t="array" ref="S282:U282">_xll.hdm_k2xy_data(P282,Q282,R282,$G$3:$N$75)</f>
        <v>4613817.5549999997</v>
      </c>
      <c r="T282" s="17">
        <v>507489.57500000001</v>
      </c>
      <c r="U282" s="17">
        <v>1.9092362522414557</v>
      </c>
      <c r="AC282">
        <f t="array" ref="AC282:AD282">_xll.map_xy2gps(S281,T281,"utm",$Y$4:$Z$8,$AA$4:$AB$8)</f>
        <v>45.089758333412831</v>
      </c>
      <c r="AD282">
        <v>41.676151437538294</v>
      </c>
    </row>
    <row r="283" spans="16:30" ht="22.5" customHeight="1" x14ac:dyDescent="0.15">
      <c r="P283" s="17">
        <v>7300</v>
      </c>
      <c r="Q283" s="17">
        <v>0</v>
      </c>
      <c r="R283" s="17">
        <v>90</v>
      </c>
      <c r="S283" s="17">
        <f t="array" ref="S283:U283">_xll.hdm_k2xy_data(P283,Q283,R283,$G$3:$N$75)</f>
        <v>4613811.0719999997</v>
      </c>
      <c r="T283" s="17">
        <v>507508.495</v>
      </c>
      <c r="U283" s="17">
        <v>1.892569585574789</v>
      </c>
      <c r="AC283">
        <f t="array" ref="AC283:AD283">_xll.map_xy2gps(S282,T282,"utm",$Y$4:$Z$8,$AA$4:$AB$8)</f>
        <v>45.089984231259621</v>
      </c>
      <c r="AD283">
        <v>41.676090039146793</v>
      </c>
    </row>
    <row r="284" spans="16:30" ht="22.5" customHeight="1" x14ac:dyDescent="0.15">
      <c r="P284" s="17">
        <v>7320</v>
      </c>
      <c r="Q284" s="17">
        <v>0</v>
      </c>
      <c r="R284" s="17">
        <v>90</v>
      </c>
      <c r="S284" s="17">
        <f t="array" ref="S284:U284">_xll.hdm_k2xy_data(P284,Q284,R284,$G$3:$N$75)</f>
        <v>4613804.9060000004</v>
      </c>
      <c r="T284" s="17">
        <v>507527.52</v>
      </c>
      <c r="U284" s="17">
        <v>1.8759029189081224</v>
      </c>
      <c r="AC284">
        <f t="array" ref="AC284:AD284">_xll.map_xy2gps(S283,T283,"utm",$Y$4:$Z$8,$AA$4:$AB$8)</f>
        <v>45.090211454161299</v>
      </c>
      <c r="AD284">
        <v>41.676031467524226</v>
      </c>
    </row>
    <row r="285" spans="16:30" ht="22.5" customHeight="1" x14ac:dyDescent="0.15">
      <c r="P285" s="17">
        <v>7340</v>
      </c>
      <c r="Q285" s="17">
        <v>0</v>
      </c>
      <c r="R285" s="17">
        <v>90</v>
      </c>
      <c r="S285" s="17">
        <f t="array" ref="S285:U285">_xll.hdm_k2xy_data(P285,Q285,R285,$G$3:$N$75)</f>
        <v>4613799.057</v>
      </c>
      <c r="T285" s="17">
        <v>507546.64500000002</v>
      </c>
      <c r="U285" s="17">
        <v>1.8592362522414556</v>
      </c>
      <c r="AC285">
        <f t="array" ref="AC285:AD285">_xll.map_xy2gps(S284,T284,"utm",$Y$4:$Z$8,$AA$4:$AB$8)</f>
        <v>45.09043994211212</v>
      </c>
      <c r="AD285">
        <v>41.675975749731627</v>
      </c>
    </row>
    <row r="286" spans="16:30" ht="22.5" customHeight="1" x14ac:dyDescent="0.15">
      <c r="P286" s="17">
        <v>7360</v>
      </c>
      <c r="Q286" s="17">
        <v>0</v>
      </c>
      <c r="R286" s="17">
        <v>90</v>
      </c>
      <c r="S286" s="17">
        <f t="array" ref="S286:U286">_xll.hdm_k2xy_data(P286,Q286,R286,$G$3:$N$75)</f>
        <v>4613793.5279999999</v>
      </c>
      <c r="T286" s="17">
        <v>507565.86599999998</v>
      </c>
      <c r="U286" s="17">
        <v>1.842569585574789</v>
      </c>
      <c r="AC286">
        <f t="array" ref="AC286:AD286">_xll.map_xy2gps(S285,T285,"utm",$Y$4:$Z$8,$AA$4:$AB$8)</f>
        <v>45.090669635069325</v>
      </c>
      <c r="AD286">
        <v>41.675922885808852</v>
      </c>
    </row>
    <row r="287" spans="16:30" ht="22.5" customHeight="1" x14ac:dyDescent="0.15">
      <c r="P287" s="17">
        <v>7380</v>
      </c>
      <c r="Q287" s="17">
        <v>0</v>
      </c>
      <c r="R287" s="17">
        <v>90</v>
      </c>
      <c r="S287" s="17">
        <f t="array" ref="S287:U287">_xll.hdm_k2xy_data(P287,Q287,R287,$G$3:$N$75)</f>
        <v>4613788.32</v>
      </c>
      <c r="T287" s="17">
        <v>507585.17599999998</v>
      </c>
      <c r="U287" s="17">
        <v>1.8259029189081222</v>
      </c>
      <c r="AC287">
        <f t="array" ref="AC287:AD287">_xll.map_xy2gps(S286,T286,"utm",$Y$4:$Z$8,$AA$4:$AB$8)</f>
        <v>45.090900485042653</v>
      </c>
      <c r="AD287">
        <v>41.67587290280823</v>
      </c>
    </row>
    <row r="288" spans="16:30" ht="22.5" customHeight="1" x14ac:dyDescent="0.15">
      <c r="P288" s="17">
        <v>7400</v>
      </c>
      <c r="Q288" s="17">
        <v>0</v>
      </c>
      <c r="R288" s="17">
        <v>90</v>
      </c>
      <c r="S288" s="17">
        <f t="array" ref="S288:U288">_xll.hdm_k2xy_data(P288,Q288,R288,$G$3:$N$75)</f>
        <v>4613783.4340000004</v>
      </c>
      <c r="T288" s="17">
        <v>507604.56900000002</v>
      </c>
      <c r="U288" s="17">
        <v>1.8092362522414556</v>
      </c>
      <c r="AC288">
        <f t="array" ref="AC288:AD288">_xll.map_xy2gps(S287,T287,"utm",$Y$4:$Z$8,$AA$4:$AB$8)</f>
        <v>45.091132407975486</v>
      </c>
      <c r="AD288">
        <v>41.675825809796706</v>
      </c>
    </row>
    <row r="289" spans="16:30" ht="22.5" customHeight="1" x14ac:dyDescent="0.15">
      <c r="P289" s="17">
        <v>7420</v>
      </c>
      <c r="Q289" s="17">
        <v>0</v>
      </c>
      <c r="R289" s="17">
        <v>90</v>
      </c>
      <c r="S289" s="17">
        <f t="array" ref="S289:U289">_xll.hdm_k2xy_data(P289,Q289,R289,$G$3:$N$75)</f>
        <v>4613778.8729999997</v>
      </c>
      <c r="T289" s="17">
        <v>507624.04200000002</v>
      </c>
      <c r="U289" s="17">
        <v>1.792569585574789</v>
      </c>
      <c r="AC289">
        <f t="array" ref="AC289:AD289">_xll.map_xy2gps(S288,T288,"utm",$Y$4:$Z$8,$AA$4:$AB$8)</f>
        <v>45.091365331825827</v>
      </c>
      <c r="AD289">
        <v>41.67578161583225</v>
      </c>
    </row>
    <row r="290" spans="16:30" ht="22.5" customHeight="1" x14ac:dyDescent="0.15">
      <c r="P290" s="17">
        <v>7440</v>
      </c>
      <c r="Q290" s="17">
        <v>0</v>
      </c>
      <c r="R290" s="17">
        <v>90</v>
      </c>
      <c r="S290" s="17">
        <f t="array" ref="S290:U290">_xll.hdm_k2xy_data(P290,Q290,R290,$G$3:$N$75)</f>
        <v>4613774.6359999999</v>
      </c>
      <c r="T290" s="17">
        <v>507643.58799999999</v>
      </c>
      <c r="U290" s="17">
        <v>1.7759029189081224</v>
      </c>
      <c r="AC290">
        <f t="array" ref="AC290:AD290">_xll.map_xy2gps(S289,T289,"utm",$Y$4:$Z$8,$AA$4:$AB$8)</f>
        <v>45.091599220619514</v>
      </c>
      <c r="AD290">
        <v>41.675740347959035</v>
      </c>
    </row>
    <row r="291" spans="16:30" ht="22.5" customHeight="1" x14ac:dyDescent="0.15">
      <c r="P291" s="17">
        <v>7460</v>
      </c>
      <c r="Q291" s="17">
        <v>0</v>
      </c>
      <c r="R291" s="17">
        <v>90</v>
      </c>
      <c r="S291" s="17">
        <f t="array" ref="S291:U291">_xll.hdm_k2xy_data(P291,Q291,R291,$G$3:$N$75)</f>
        <v>4613770.7259999998</v>
      </c>
      <c r="T291" s="17">
        <v>507663.20199999999</v>
      </c>
      <c r="U291" s="17">
        <v>1.7592362522414555</v>
      </c>
      <c r="AC291">
        <f t="array" ref="AC291:AD291">_xll.map_xy2gps(S290,T290,"utm",$Y$4:$Z$8,$AA$4:$AB$8)</f>
        <v>45.091833990276321</v>
      </c>
      <c r="AD291">
        <v>41.675701997231258</v>
      </c>
    </row>
    <row r="292" spans="16:30" ht="22.5" customHeight="1" x14ac:dyDescent="0.15">
      <c r="P292" s="17">
        <v>7480</v>
      </c>
      <c r="Q292" s="17">
        <v>0</v>
      </c>
      <c r="R292" s="17">
        <v>90</v>
      </c>
      <c r="S292" s="17">
        <f t="array" ref="S292:U292">_xll.hdm_k2xy_data(P292,Q292,R292,$G$3:$N$75)</f>
        <v>4613767.1440000003</v>
      </c>
      <c r="T292" s="17">
        <v>507682.87800000003</v>
      </c>
      <c r="U292" s="17">
        <v>1.7425695855747889</v>
      </c>
      <c r="AC292">
        <f t="array" ref="AC292:AD292">_xll.map_xy2gps(S291,T291,"utm",$Y$4:$Z$8,$AA$4:$AB$8)</f>
        <v>45.092069580795517</v>
      </c>
      <c r="AD292">
        <v>41.675666590713135</v>
      </c>
    </row>
    <row r="293" spans="16:30" ht="22.5" customHeight="1" x14ac:dyDescent="0.15">
      <c r="P293" s="17">
        <v>7500</v>
      </c>
      <c r="Q293" s="17">
        <v>0</v>
      </c>
      <c r="R293" s="17">
        <v>90</v>
      </c>
      <c r="S293" s="17">
        <f t="array" ref="S293:U293">_xll.hdm_k2xy_data(P293,Q293,R293,$G$3:$N$75)</f>
        <v>4613763.8899999997</v>
      </c>
      <c r="T293" s="17">
        <v>507702.61099999998</v>
      </c>
      <c r="U293" s="17">
        <v>1.7259029189081223</v>
      </c>
      <c r="AC293">
        <f t="array" ref="AC293:AD293">_xll.map_xy2gps(S292,T292,"utm",$Y$4:$Z$8,$AA$4:$AB$8)</f>
        <v>45.092305920137427</v>
      </c>
      <c r="AD293">
        <v>41.675634137464698</v>
      </c>
    </row>
    <row r="294" spans="16:30" ht="22.5" customHeight="1" x14ac:dyDescent="0.15">
      <c r="P294" s="17">
        <v>7520</v>
      </c>
      <c r="Q294" s="17">
        <v>0</v>
      </c>
      <c r="R294" s="17">
        <v>90</v>
      </c>
      <c r="S294" s="17">
        <f t="array" ref="S294:U294">_xll.hdm_k2xy_data(P294,Q294,R294,$G$3:$N$75)</f>
        <v>4613760.9649999999</v>
      </c>
      <c r="T294" s="17">
        <v>507722.39600000001</v>
      </c>
      <c r="U294" s="17">
        <v>1.7092362522414557</v>
      </c>
      <c r="AC294">
        <f t="array" ref="AC294:AD294">_xll.map_xy2gps(S293,T293,"utm",$Y$4:$Z$8,$AA$4:$AB$8)</f>
        <v>45.092542948263919</v>
      </c>
      <c r="AD294">
        <v>41.675604637529688</v>
      </c>
    </row>
    <row r="295" spans="16:30" ht="22.5" customHeight="1" x14ac:dyDescent="0.15">
      <c r="P295" s="17">
        <v>7540</v>
      </c>
      <c r="Q295" s="17">
        <v>0</v>
      </c>
      <c r="R295" s="17">
        <v>90</v>
      </c>
      <c r="S295" s="17">
        <f t="array" ref="S295:U295">_xll.hdm_k2xy_data(P295,Q295,R295,$G$3:$N$75)</f>
        <v>4613758.37</v>
      </c>
      <c r="T295" s="17">
        <v>507742.22700000001</v>
      </c>
      <c r="U295" s="17">
        <v>1.6925695855747889</v>
      </c>
      <c r="AC295">
        <f t="array" ref="AC295:AD295">_xll.map_xy2gps(S294,T294,"utm",$Y$4:$Z$8,$AA$4:$AB$8)</f>
        <v>45.092780605150061</v>
      </c>
      <c r="AD295">
        <v>41.675578099959559</v>
      </c>
    </row>
    <row r="296" spans="16:30" ht="22.5" customHeight="1" x14ac:dyDescent="0.15">
      <c r="P296" s="17">
        <v>7560</v>
      </c>
      <c r="Q296" s="17">
        <v>0</v>
      </c>
      <c r="R296" s="17">
        <v>90</v>
      </c>
      <c r="S296" s="17">
        <f t="array" ref="S296:U296">_xll.hdm_k2xy_data(P296,Q296,R296,$G$3:$N$75)</f>
        <v>4613756.1059999997</v>
      </c>
      <c r="T296" s="17">
        <v>507762.098</v>
      </c>
      <c r="U296" s="17">
        <v>1.6759029189081223</v>
      </c>
      <c r="AC296">
        <f t="array" ref="AC296:AD296">_xll.map_xy2gps(S295,T295,"utm",$Y$4:$Z$8,$AA$4:$AB$8)</f>
        <v>45.093018818757457</v>
      </c>
      <c r="AD296">
        <v>41.675554533815898</v>
      </c>
    </row>
    <row r="297" spans="16:30" ht="22.5" customHeight="1" x14ac:dyDescent="0.15">
      <c r="P297" s="17">
        <v>7580</v>
      </c>
      <c r="Q297" s="17">
        <v>0</v>
      </c>
      <c r="R297" s="17">
        <v>90</v>
      </c>
      <c r="S297" s="17">
        <f t="array" ref="S297:U297">_xll.hdm_k2xy_data(P297,Q297,R297,$G$3:$N$75)</f>
        <v>4613754.1679999996</v>
      </c>
      <c r="T297" s="17">
        <v>507782.00400000002</v>
      </c>
      <c r="U297" s="17">
        <v>1.6602173096597166</v>
      </c>
      <c r="AC297">
        <f t="array" ref="AC297:AD297">_xll.map_xy2gps(S296,T296,"utm",$Y$4:$Z$8,$AA$4:$AB$8)</f>
        <v>45.093257517048158</v>
      </c>
      <c r="AD297">
        <v>41.675533948160847</v>
      </c>
    </row>
    <row r="298" spans="16:30" ht="22.5" customHeight="1" x14ac:dyDescent="0.15">
      <c r="P298" s="17">
        <v>7600</v>
      </c>
      <c r="Q298" s="17">
        <v>0</v>
      </c>
      <c r="R298" s="17">
        <v>90</v>
      </c>
      <c r="S298" s="17">
        <f t="array" ref="S298:U298">_xll.hdm_k2xy_data(P298,Q298,R298,$G$3:$N$75)</f>
        <v>4613752.517</v>
      </c>
      <c r="T298" s="17">
        <v>507801.93599999999</v>
      </c>
      <c r="U298" s="17">
        <v>1.6470157350742798</v>
      </c>
      <c r="AC298">
        <f t="array" ref="AC298:AD298">_xll.map_xy2gps(S297,T297,"utm",$Y$4:$Z$8,$AA$4:$AB$8)</f>
        <v>45.09349663992019</v>
      </c>
      <c r="AD298">
        <v>41.675516298004467</v>
      </c>
    </row>
    <row r="299" spans="16:30" ht="22.5" customHeight="1" x14ac:dyDescent="0.15">
      <c r="P299" s="17">
        <v>7620</v>
      </c>
      <c r="Q299" s="17">
        <v>0</v>
      </c>
      <c r="R299" s="17">
        <v>90</v>
      </c>
      <c r="S299" s="17">
        <f t="array" ref="S299:U299">_xll.hdm_k2xy_data(P299,Q299,R299,$G$3:$N$75)</f>
        <v>4613751.1050000004</v>
      </c>
      <c r="T299" s="17">
        <v>507821.886</v>
      </c>
      <c r="U299" s="17">
        <v>1.6363141367387832</v>
      </c>
      <c r="AC299">
        <f t="array" ref="AC299:AD299">_xll.map_xy2gps(S298,T298,"utm",$Y$4:$Z$8,$AA$4:$AB$8)</f>
        <v>45.093736078771393</v>
      </c>
      <c r="AD299">
        <v>41.67550123215274</v>
      </c>
    </row>
    <row r="300" spans="16:30" ht="22.5" customHeight="1" x14ac:dyDescent="0.15">
      <c r="P300" s="17">
        <v>7640</v>
      </c>
      <c r="Q300" s="17">
        <v>0</v>
      </c>
      <c r="R300" s="17">
        <v>90</v>
      </c>
      <c r="S300" s="17">
        <f t="array" ref="S300:U300">_xll.hdm_k2xy_data(P300,Q300,R300,$G$3:$N$75)</f>
        <v>4613749.8820000002</v>
      </c>
      <c r="T300" s="17">
        <v>507841.848</v>
      </c>
      <c r="U300" s="17">
        <v>1.6281125146532269</v>
      </c>
      <c r="AC300">
        <f t="array" ref="AC300:AD300">_xll.map_xy2gps(S299,T299,"utm",$Y$4:$Z$8,$AA$4:$AB$8)</f>
        <v>45.093975736890542</v>
      </c>
      <c r="AD300">
        <v>41.675488318338296</v>
      </c>
    </row>
    <row r="301" spans="16:30" ht="22.5" customHeight="1" x14ac:dyDescent="0.15">
      <c r="P301" s="17">
        <v>7660</v>
      </c>
      <c r="Q301" s="17">
        <v>0</v>
      </c>
      <c r="R301" s="17">
        <v>90</v>
      </c>
      <c r="S301" s="17">
        <f t="array" ref="S301:U301">_xll.hdm_k2xy_data(P301,Q301,R301,$G$3:$N$75)</f>
        <v>4613748.7970000003</v>
      </c>
      <c r="T301" s="17">
        <v>507861.81900000002</v>
      </c>
      <c r="U301" s="17">
        <v>1.6224108688176109</v>
      </c>
      <c r="AC301">
        <f t="array" ref="AC301:AD301">_xll.map_xy2gps(S300,T300,"utm",$Y$4:$Z$8,$AA$4:$AB$8)</f>
        <v>45.094215541561596</v>
      </c>
      <c r="AD301">
        <v>41.675477106260487</v>
      </c>
    </row>
    <row r="302" spans="16:30" ht="22.5" customHeight="1" x14ac:dyDescent="0.15">
      <c r="P302" s="17">
        <v>7680</v>
      </c>
      <c r="Q302" s="17">
        <v>0</v>
      </c>
      <c r="R302" s="17">
        <v>90</v>
      </c>
      <c r="S302" s="17">
        <f t="array" ref="S302:U302">_xll.hdm_k2xy_data(P302,Q302,R302,$G$3:$N$75)</f>
        <v>4613747.8020000001</v>
      </c>
      <c r="T302" s="17">
        <v>507881.79399999999</v>
      </c>
      <c r="U302" s="17">
        <v>1.6192091992319353</v>
      </c>
      <c r="AC302">
        <f t="array" ref="AC302:AD302">_xll.map_xy2gps(S301,T301,"utm",$Y$4:$Z$8,$AA$4:$AB$8)</f>
        <v>45.094455456090309</v>
      </c>
      <c r="AD302">
        <v>41.675467136582526</v>
      </c>
    </row>
    <row r="303" spans="16:30" ht="22.5" customHeight="1" x14ac:dyDescent="0.15">
      <c r="P303" s="17">
        <v>7700</v>
      </c>
      <c r="Q303" s="17">
        <v>0</v>
      </c>
      <c r="R303" s="17">
        <v>90</v>
      </c>
      <c r="S303" s="17">
        <f t="array" ref="S303:U303">_xll.hdm_k2xy_data(P303,Q303,R303,$G$3:$N$75)</f>
        <v>4613746.8439999996</v>
      </c>
      <c r="T303" s="17">
        <v>507901.77100000001</v>
      </c>
      <c r="U303" s="17">
        <v>1.6185087949934389</v>
      </c>
      <c r="AC303">
        <f t="array" ref="AC303:AD303">_xll.map_xy2gps(S302,T302,"utm",$Y$4:$Z$8,$AA$4:$AB$8)</f>
        <v>45.094695419787548</v>
      </c>
      <c r="AD303">
        <v>41.675457977009223</v>
      </c>
    </row>
    <row r="304" spans="16:30" ht="22.5" customHeight="1" x14ac:dyDescent="0.15">
      <c r="P304" s="17">
        <v>7720</v>
      </c>
      <c r="Q304" s="17">
        <v>0</v>
      </c>
      <c r="R304" s="17">
        <v>90</v>
      </c>
      <c r="S304" s="17">
        <f t="array" ref="S304:U304">_xll.hdm_k2xy_data(P304,Q304,R304,$G$3:$N$75)</f>
        <v>4613745.8760000002</v>
      </c>
      <c r="T304" s="17">
        <v>507921.74800000002</v>
      </c>
      <c r="U304" s="17">
        <v>1.6203071029112104</v>
      </c>
      <c r="AC304">
        <f t="array" ref="AC304:AD304">_xll.map_xy2gps(S303,T303,"utm",$Y$4:$Z$8,$AA$4:$AB$8)</f>
        <v>45.094935407933193</v>
      </c>
      <c r="AD304">
        <v>41.675449150180285</v>
      </c>
    </row>
    <row r="305" spans="16:30" ht="22.5" customHeight="1" x14ac:dyDescent="0.15">
      <c r="P305" s="17">
        <v>7740</v>
      </c>
      <c r="Q305" s="17">
        <v>0</v>
      </c>
      <c r="R305" s="17">
        <v>90</v>
      </c>
      <c r="S305" s="17">
        <f t="array" ref="S305:U305">_xll.hdm_k2xy_data(P305,Q305,R305,$G$3:$N$75)</f>
        <v>4613744.8480000002</v>
      </c>
      <c r="T305" s="17">
        <v>507941.72100000002</v>
      </c>
      <c r="U305" s="17">
        <v>1.6246053870789223</v>
      </c>
      <c r="AC305">
        <f t="array" ref="AC305:AD305">_xll.map_xy2gps(S304,T304,"utm",$Y$4:$Z$8,$AA$4:$AB$8)</f>
        <v>45.095175395879643</v>
      </c>
      <c r="AD305">
        <v>41.675440232778634</v>
      </c>
    </row>
    <row r="306" spans="16:30" ht="22.5" customHeight="1" x14ac:dyDescent="0.15">
      <c r="P306" s="17">
        <v>7760</v>
      </c>
      <c r="Q306" s="17">
        <v>0</v>
      </c>
      <c r="R306" s="17">
        <v>90</v>
      </c>
      <c r="S306" s="17">
        <f t="array" ref="S306:U306">_xll.hdm_k2xy_data(P306,Q306,R306,$G$3:$N$75)</f>
        <v>4613743.7079999996</v>
      </c>
      <c r="T306" s="17">
        <v>507961.68900000001</v>
      </c>
      <c r="U306" s="17">
        <v>1.6314036474965747</v>
      </c>
      <c r="AC306">
        <f t="array" ref="AC306:AD306">_xll.map_xy2gps(S305,T305,"utm",$Y$4:$Z$8,$AA$4:$AB$8)</f>
        <v>45.095415334905439</v>
      </c>
      <c r="AD306">
        <v>41.675430774485839</v>
      </c>
    </row>
    <row r="307" spans="16:30" ht="22.5" customHeight="1" x14ac:dyDescent="0.15">
      <c r="P307" s="17">
        <v>7780</v>
      </c>
      <c r="Q307" s="17">
        <v>0</v>
      </c>
      <c r="R307" s="17">
        <v>90</v>
      </c>
      <c r="S307" s="17">
        <f t="array" ref="S307:U307">_xll.hdm_k2xy_data(P307,Q307,R307,$G$3:$N$75)</f>
        <v>4613742.4079999998</v>
      </c>
      <c r="T307" s="17">
        <v>507981.64600000001</v>
      </c>
      <c r="U307" s="17">
        <v>1.6407018841641672</v>
      </c>
      <c r="AC307">
        <f t="array" ref="AC307:AD307">_xll.map_xy2gps(S306,T306,"utm",$Y$4:$Z$8,$AA$4:$AB$8)</f>
        <v>45.095655212297316</v>
      </c>
      <c r="AD307">
        <v>41.6754203069396</v>
      </c>
    </row>
    <row r="308" spans="16:30" ht="22.5" customHeight="1" x14ac:dyDescent="0.15">
      <c r="P308" s="17">
        <v>7800</v>
      </c>
      <c r="Q308" s="17">
        <v>0</v>
      </c>
      <c r="R308" s="17">
        <v>90</v>
      </c>
      <c r="S308" s="17">
        <f t="array" ref="S308:U308">_xll.hdm_k2xy_data(P308,Q308,R308,$G$3:$N$75)</f>
        <v>4613740.898</v>
      </c>
      <c r="T308" s="17">
        <v>508001.58899999998</v>
      </c>
      <c r="U308" s="17">
        <v>1.6525000970817001</v>
      </c>
      <c r="AC308">
        <f t="array" ref="AC308:AD308">_xll.map_xy2gps(S307,T307,"utm",$Y$4:$Z$8,$AA$4:$AB$8)</f>
        <v>45.095894955319316</v>
      </c>
      <c r="AD308">
        <v>41.675408397856437</v>
      </c>
    </row>
    <row r="309" spans="16:30" ht="22.5" customHeight="1" x14ac:dyDescent="0.15">
      <c r="P309" s="17">
        <v>7820</v>
      </c>
      <c r="Q309" s="17">
        <v>0</v>
      </c>
      <c r="R309" s="17">
        <v>90</v>
      </c>
      <c r="S309" s="17">
        <f t="array" ref="S309:U309">_xll.hdm_k2xy_data(P309,Q309,R309,$G$3:$N$75)</f>
        <v>4613739.1270000003</v>
      </c>
      <c r="T309" s="17">
        <v>508021.51</v>
      </c>
      <c r="U309" s="17">
        <v>1.6667982862491735</v>
      </c>
      <c r="AC309">
        <f t="array" ref="AC309:AD309">_xll.map_xy2gps(S308,T308,"utm",$Y$4:$Z$8,$AA$4:$AB$8)</f>
        <v>45.096134527243883</v>
      </c>
      <c r="AD309">
        <v>41.675394596909058</v>
      </c>
    </row>
    <row r="310" spans="16:30" ht="22.5" customHeight="1" x14ac:dyDescent="0.15">
      <c r="P310" s="17">
        <v>7840</v>
      </c>
      <c r="Q310" s="17">
        <v>0</v>
      </c>
      <c r="R310" s="17">
        <v>90</v>
      </c>
      <c r="S310" s="17">
        <f t="array" ref="S310:U310">_xll.hdm_k2xy_data(P310,Q310,R310,$G$3:$N$75)</f>
        <v>4613737.0489999996</v>
      </c>
      <c r="T310" s="17">
        <v>508041.402</v>
      </c>
      <c r="U310" s="17">
        <v>1.683214917670538</v>
      </c>
      <c r="AC310">
        <f t="array" ref="AC310:AD310">_xll.map_xy2gps(S309,T309,"utm",$Y$4:$Z$8,$AA$4:$AB$8)</f>
        <v>45.096373831254155</v>
      </c>
      <c r="AD310">
        <v>41.675378444813639</v>
      </c>
    </row>
    <row r="311" spans="16:30" ht="22.5" customHeight="1" x14ac:dyDescent="0.15">
      <c r="P311" s="17">
        <v>7860</v>
      </c>
      <c r="Q311" s="17">
        <v>0</v>
      </c>
      <c r="R311" s="17">
        <v>90</v>
      </c>
      <c r="S311" s="17">
        <f t="array" ref="S311:U311">_xll.hdm_k2xy_data(P311,Q311,R311,$G$3:$N$75)</f>
        <v>4613734.6399999997</v>
      </c>
      <c r="T311" s="17">
        <v>508061.25599999999</v>
      </c>
      <c r="U311" s="17">
        <v>1.6998815843372046</v>
      </c>
      <c r="AC311">
        <f t="array" ref="AC311:AD311">_xll.map_xy2gps(S310,T310,"utm",$Y$4:$Z$8,$AA$4:$AB$8)</f>
        <v>45.096612782607806</v>
      </c>
      <c r="AD311">
        <v>41.675359527312914</v>
      </c>
    </row>
    <row r="312" spans="16:30" ht="22.5" customHeight="1" x14ac:dyDescent="0.15">
      <c r="P312" s="17">
        <v>7880</v>
      </c>
      <c r="Q312" s="17">
        <v>0</v>
      </c>
      <c r="R312" s="17">
        <v>90</v>
      </c>
      <c r="S312" s="17">
        <f t="array" ref="S312:U312">_xll.hdm_k2xy_data(P312,Q312,R312,$G$3:$N$75)</f>
        <v>4613731.9000000004</v>
      </c>
      <c r="T312" s="17">
        <v>508081.06699999998</v>
      </c>
      <c r="U312" s="17">
        <v>1.7165482510038714</v>
      </c>
      <c r="AC312">
        <f t="array" ref="AC312:AD312">_xll.map_xy2gps(S311,T311,"utm",$Y$4:$Z$8,$AA$4:$AB$8)</f>
        <v>45.096851272825965</v>
      </c>
      <c r="AD312">
        <v>41.675337628328201</v>
      </c>
    </row>
    <row r="313" spans="16:30" ht="22.5" customHeight="1" x14ac:dyDescent="0.15">
      <c r="P313" s="17">
        <v>7900</v>
      </c>
      <c r="Q313" s="17">
        <v>0</v>
      </c>
      <c r="R313" s="17">
        <v>90</v>
      </c>
      <c r="S313" s="17">
        <f t="array" ref="S313:U313">_xll.hdm_k2xy_data(P313,Q313,R313,$G$3:$N$75)</f>
        <v>4613728.83</v>
      </c>
      <c r="T313" s="17">
        <v>508100.83</v>
      </c>
      <c r="U313" s="17">
        <v>1.733214917670538</v>
      </c>
      <c r="AC313">
        <f t="array" ref="AC313:AD313">_xll.map_xy2gps(S312,T312,"utm",$Y$4:$Z$8,$AA$4:$AB$8)</f>
        <v>45.09708924180692</v>
      </c>
      <c r="AD313">
        <v>41.675312747913118</v>
      </c>
    </row>
    <row r="314" spans="16:30" ht="22.5" customHeight="1" x14ac:dyDescent="0.15">
      <c r="P314" s="17">
        <v>7920</v>
      </c>
      <c r="Q314" s="17">
        <v>0</v>
      </c>
      <c r="R314" s="17">
        <v>90</v>
      </c>
      <c r="S314" s="17">
        <f t="array" ref="S314:U314">_xll.hdm_k2xy_data(P314,Q314,R314,$G$3:$N$75)</f>
        <v>4613725.432</v>
      </c>
      <c r="T314" s="17">
        <v>508120.53899999999</v>
      </c>
      <c r="U314" s="17">
        <v>1.7498815843372046</v>
      </c>
      <c r="AC314">
        <f t="array" ref="AC314:AD314">_xll.map_xy2gps(S313,T313,"utm",$Y$4:$Z$8,$AA$4:$AB$8)</f>
        <v>45.097326629462792</v>
      </c>
      <c r="AD314">
        <v>41.675284895128897</v>
      </c>
    </row>
    <row r="315" spans="16:30" ht="22.5" customHeight="1" x14ac:dyDescent="0.15">
      <c r="P315" s="17">
        <v>7940</v>
      </c>
      <c r="Q315" s="17">
        <v>0</v>
      </c>
      <c r="R315" s="17">
        <v>90</v>
      </c>
      <c r="S315" s="17">
        <f t="array" ref="S315:U315">_xll.hdm_k2xy_data(P315,Q315,R315,$G$3:$N$75)</f>
        <v>4613721.7060000002</v>
      </c>
      <c r="T315" s="17">
        <v>508140.18800000002</v>
      </c>
      <c r="U315" s="17">
        <v>1.7665482510038713</v>
      </c>
      <c r="AC315">
        <f t="array" ref="AC315:AD315">_xll.map_xy2gps(S314,T314,"utm",$Y$4:$Z$8,$AA$4:$AB$8)</f>
        <v>45.097563363705873</v>
      </c>
      <c r="AD315">
        <v>41.675254088054672</v>
      </c>
    </row>
    <row r="316" spans="16:30" ht="22.5" customHeight="1" x14ac:dyDescent="0.15">
      <c r="P316" s="17">
        <v>7960</v>
      </c>
      <c r="Q316" s="17">
        <v>0</v>
      </c>
      <c r="R316" s="17">
        <v>90</v>
      </c>
      <c r="S316" s="17">
        <f t="array" ref="S316:U316">_xll.hdm_k2xy_data(P316,Q316,R316,$G$3:$N$75)</f>
        <v>4613717.6519999998</v>
      </c>
      <c r="T316" s="17">
        <v>508159.77299999999</v>
      </c>
      <c r="U316" s="17">
        <v>1.7832149176705381</v>
      </c>
      <c r="AC316">
        <f t="array" ref="AC316:AD316">_xll.map_xy2gps(S315,T315,"utm",$Y$4:$Z$8,$AA$4:$AB$8)</f>
        <v>45.097799372421775</v>
      </c>
      <c r="AD316">
        <v>41.675220326755799</v>
      </c>
    </row>
    <row r="317" spans="16:30" ht="22.5" customHeight="1" x14ac:dyDescent="0.15">
      <c r="P317" s="17">
        <v>7980</v>
      </c>
      <c r="Q317" s="17">
        <v>0</v>
      </c>
      <c r="R317" s="17">
        <v>90</v>
      </c>
      <c r="S317" s="17">
        <f t="array" ref="S317:U317">_xll.hdm_k2xy_data(P317,Q317,R317,$G$3:$N$75)</f>
        <v>4613713.273</v>
      </c>
      <c r="T317" s="17">
        <v>508179.288</v>
      </c>
      <c r="U317" s="17">
        <v>1.7998815843372047</v>
      </c>
      <c r="AC317">
        <f t="array" ref="AC317:AD317">_xll.map_xy2gps(S316,T316,"utm",$Y$4:$Z$8,$AA$4:$AB$8)</f>
        <v>45.098034607524042</v>
      </c>
      <c r="AD317">
        <v>41.675183611277674</v>
      </c>
    </row>
    <row r="318" spans="16:30" ht="22.5" customHeight="1" x14ac:dyDescent="0.15">
      <c r="P318" s="17">
        <v>8000</v>
      </c>
      <c r="Q318" s="17">
        <v>0</v>
      </c>
      <c r="R318" s="17">
        <v>90</v>
      </c>
      <c r="S318" s="17">
        <f t="array" ref="S318:U318">_xll.hdm_k2xy_data(P318,Q318,R318,$G$3:$N$75)</f>
        <v>4613708.5690000001</v>
      </c>
      <c r="T318" s="17">
        <v>508198.72600000002</v>
      </c>
      <c r="U318" s="17">
        <v>1.8165482510038713</v>
      </c>
      <c r="AC318">
        <f t="array" ref="AC318:AD318">_xll.map_xy2gps(S317,T317,"utm",$Y$4:$Z$8,$AA$4:$AB$8)</f>
        <v>45.098268996940071</v>
      </c>
      <c r="AD318">
        <v>41.675143968708177</v>
      </c>
    </row>
    <row r="319" spans="16:30" ht="22.5" customHeight="1" x14ac:dyDescent="0.15">
      <c r="P319" s="17">
        <v>8020</v>
      </c>
      <c r="Q319" s="17">
        <v>0</v>
      </c>
      <c r="R319" s="17">
        <v>90</v>
      </c>
      <c r="S319" s="17">
        <f t="array" ref="S319:U319">_xll.hdm_k2xy_data(P319,Q319,R319,$G$3:$N$75)</f>
        <v>4613703.5420000004</v>
      </c>
      <c r="T319" s="17">
        <v>508218.08399999997</v>
      </c>
      <c r="U319" s="17">
        <v>1.8332149176705381</v>
      </c>
      <c r="AC319">
        <f t="array" ref="AC319:AD319">_xll.map_xy2gps(S318,T318,"utm",$Y$4:$Z$8,$AA$4:$AB$8)</f>
        <v>45.098502456543045</v>
      </c>
      <c r="AD319">
        <v>41.675101399124522</v>
      </c>
    </row>
    <row r="320" spans="16:30" ht="22.5" customHeight="1" x14ac:dyDescent="0.15">
      <c r="P320" s="17">
        <v>8040</v>
      </c>
      <c r="Q320" s="17">
        <v>0</v>
      </c>
      <c r="R320" s="17">
        <v>90</v>
      </c>
      <c r="S320" s="17">
        <f t="array" ref="S320:U320">_xll.hdm_k2xy_data(P320,Q320,R320,$G$3:$N$75)</f>
        <v>4613698.193</v>
      </c>
      <c r="T320" s="17">
        <v>508237.35499999998</v>
      </c>
      <c r="U320" s="17">
        <v>1.8498815843372047</v>
      </c>
      <c r="AC320">
        <f t="array" ref="AC320:AD320">_xll.map_xy2gps(S319,T319,"utm",$Y$4:$Z$8,$AA$4:$AB$8)</f>
        <v>45.098734950289263</v>
      </c>
      <c r="AD320">
        <v>41.675055920577634</v>
      </c>
    </row>
    <row r="321" spans="16:30" ht="22.5" customHeight="1" x14ac:dyDescent="0.15">
      <c r="P321" s="17">
        <v>8060</v>
      </c>
      <c r="Q321" s="17">
        <v>0</v>
      </c>
      <c r="R321" s="17">
        <v>90</v>
      </c>
      <c r="S321" s="17">
        <f t="array" ref="S321:U321">_xll.hdm_k2xy_data(P321,Q321,R321,$G$3:$N$75)</f>
        <v>4613692.523</v>
      </c>
      <c r="T321" s="17">
        <v>508256.53499999997</v>
      </c>
      <c r="U321" s="17">
        <v>1.8665482510038713</v>
      </c>
      <c r="AC321">
        <f t="array" ref="AC321:AD321">_xll.map_xy2gps(S320,T320,"utm",$Y$4:$Z$8,$AA$4:$AB$8)</f>
        <v>45.098966394066792</v>
      </c>
      <c r="AD321">
        <v>41.675007542152862</v>
      </c>
    </row>
    <row r="322" spans="16:30" ht="22.5" customHeight="1" x14ac:dyDescent="0.15">
      <c r="P322" s="17">
        <v>8080</v>
      </c>
      <c r="Q322" s="17">
        <v>0</v>
      </c>
      <c r="R322" s="17">
        <v>90</v>
      </c>
      <c r="S322" s="17">
        <f t="array" ref="S322:U322">_xll.hdm_k2xy_data(P322,Q322,R322,$G$3:$N$75)</f>
        <v>4613686.5350000001</v>
      </c>
      <c r="T322" s="17">
        <v>508275.61700000003</v>
      </c>
      <c r="U322" s="17">
        <v>1.8832149176705379</v>
      </c>
      <c r="AC322">
        <f t="array" ref="AC322:AD322">_xll.map_xy2gps(S321,T321,"utm",$Y$4:$Z$8,$AA$4:$AB$8)</f>
        <v>45.09919673980562</v>
      </c>
      <c r="AD322">
        <v>41.674956272905213</v>
      </c>
    </row>
    <row r="323" spans="16:30" ht="22.5" customHeight="1" x14ac:dyDescent="0.15">
      <c r="P323" s="17">
        <v>8100</v>
      </c>
      <c r="Q323" s="17">
        <v>0</v>
      </c>
      <c r="R323" s="17">
        <v>90</v>
      </c>
      <c r="S323" s="17">
        <f t="array" ref="S323:U323">_xll.hdm_k2xy_data(P323,Q323,R323,$G$3:$N$75)</f>
        <v>4613680.2300000004</v>
      </c>
      <c r="T323" s="17">
        <v>508294.59600000002</v>
      </c>
      <c r="U323" s="17">
        <v>1.8998815843372046</v>
      </c>
      <c r="AC323">
        <f t="array" ref="AC323:AD323">_xll.map_xy2gps(S322,T322,"utm",$Y$4:$Z$8,$AA$4:$AB$8)</f>
        <v>45.099425903422805</v>
      </c>
      <c r="AD323">
        <v>41.674902139935419</v>
      </c>
    </row>
    <row r="324" spans="16:30" ht="22.5" customHeight="1" x14ac:dyDescent="0.15">
      <c r="P324" s="17">
        <v>8120</v>
      </c>
      <c r="Q324" s="17">
        <v>0</v>
      </c>
      <c r="R324" s="17">
        <v>90</v>
      </c>
      <c r="S324" s="17">
        <f t="array" ref="S324:U324">_xll.hdm_k2xy_data(P324,Q324,R324,$G$3:$N$75)</f>
        <v>4613673.6090000002</v>
      </c>
      <c r="T324" s="17">
        <v>508313.46799999999</v>
      </c>
      <c r="U324" s="17">
        <v>1.9165482510038714</v>
      </c>
      <c r="AC324">
        <f t="array" ref="AC324:AD324">_xll.map_xy2gps(S323,T323,"utm",$Y$4:$Z$8,$AA$4:$AB$8)</f>
        <v>45.099653824836018</v>
      </c>
      <c r="AD324">
        <v>41.674845152309764</v>
      </c>
    </row>
    <row r="325" spans="16:30" ht="22.5" customHeight="1" x14ac:dyDescent="0.15">
      <c r="P325" s="17">
        <v>8140</v>
      </c>
      <c r="Q325" s="17">
        <v>0</v>
      </c>
      <c r="R325" s="17">
        <v>90</v>
      </c>
      <c r="S325" s="17">
        <f t="array" ref="S325:U325">_xll.hdm_k2xy_data(P325,Q325,R325,$G$3:$N$75)</f>
        <v>4613666.6739999996</v>
      </c>
      <c r="T325" s="17">
        <v>508332.228</v>
      </c>
      <c r="U325" s="17">
        <v>1.933214917670538</v>
      </c>
      <c r="AC325">
        <f t="array" ref="AC325:AD325">_xll.map_xy2gps(S324,T324,"utm",$Y$4:$Z$8,$AA$4:$AB$8)</f>
        <v>45.099880455977399</v>
      </c>
      <c r="AD325">
        <v>41.674785319084528</v>
      </c>
    </row>
    <row r="326" spans="16:30" ht="22.5" customHeight="1" x14ac:dyDescent="0.15">
      <c r="P326" s="17">
        <v>8160</v>
      </c>
      <c r="Q326" s="17">
        <v>0</v>
      </c>
      <c r="R326" s="17">
        <v>90</v>
      </c>
      <c r="S326" s="17">
        <f t="array" ref="S326:U326">_xll.hdm_k2xy_data(P326,Q326,R326,$G$3:$N$75)</f>
        <v>4613659.4280000003</v>
      </c>
      <c r="T326" s="17">
        <v>508350.86800000002</v>
      </c>
      <c r="U326" s="17">
        <v>1.9498815843372046</v>
      </c>
      <c r="AC326">
        <f t="array" ref="AC326:AD326">_xll.map_xy2gps(S325,T325,"utm",$Y$4:$Z$8,$AA$4:$AB$8)</f>
        <v>45.100105736779923</v>
      </c>
      <c r="AD326">
        <v>41.67472265833387</v>
      </c>
    </row>
    <row r="327" spans="16:30" ht="22.5" customHeight="1" x14ac:dyDescent="0.15">
      <c r="P327" s="17">
        <v>8180</v>
      </c>
      <c r="Q327" s="17">
        <v>0</v>
      </c>
      <c r="R327" s="17">
        <v>90</v>
      </c>
      <c r="S327" s="17">
        <f t="array" ref="S327:U327">_xll.hdm_k2xy_data(P327,Q327,R327,$G$3:$N$75)</f>
        <v>4613651.8720000004</v>
      </c>
      <c r="T327" s="17">
        <v>508369.386</v>
      </c>
      <c r="U327" s="17">
        <v>1.9665482510038714</v>
      </c>
      <c r="AC327">
        <f t="array" ref="AC327:AD327">_xll.map_xy2gps(S326,T326,"utm",$Y$4:$Z$8,$AA$4:$AB$8)</f>
        <v>45.100329571150276</v>
      </c>
      <c r="AD327">
        <v>41.674657197171129</v>
      </c>
    </row>
    <row r="328" spans="16:30" ht="22.5" customHeight="1" x14ac:dyDescent="0.15">
      <c r="P328" s="17">
        <v>8200</v>
      </c>
      <c r="Q328" s="17">
        <v>0</v>
      </c>
      <c r="R328" s="17">
        <v>90</v>
      </c>
      <c r="S328" s="17">
        <f t="array" ref="S328:U328">_xll.hdm_k2xy_data(P328,Q328,R328,$G$3:$N$75)</f>
        <v>4613644.0080000004</v>
      </c>
      <c r="T328" s="17">
        <v>508387.77500000002</v>
      </c>
      <c r="U328" s="17">
        <v>1.983214917670538</v>
      </c>
      <c r="AC328">
        <f t="array" ref="AC328:AD328">_xll.map_xy2gps(S327,T327,"utm",$Y$4:$Z$8,$AA$4:$AB$8)</f>
        <v>45.100551935050412</v>
      </c>
      <c r="AD328">
        <v>41.674588944632816</v>
      </c>
    </row>
    <row r="329" spans="16:30" ht="22.5" customHeight="1" x14ac:dyDescent="0.15">
      <c r="P329" s="17">
        <v>8220</v>
      </c>
      <c r="Q329" s="17">
        <v>0</v>
      </c>
      <c r="R329" s="17">
        <v>90</v>
      </c>
      <c r="S329" s="17">
        <f t="array" ref="S329:U329">_xll.hdm_k2xy_data(P329,Q329,R329,$G$3:$N$75)</f>
        <v>4613635.84</v>
      </c>
      <c r="T329" s="17">
        <v>508406.03</v>
      </c>
      <c r="U329" s="17">
        <v>1.9998815843372046</v>
      </c>
      <c r="AC329">
        <f t="array" ref="AC329:AD329">_xll.map_xy2gps(S328,T328,"utm",$Y$4:$Z$8,$AA$4:$AB$8)</f>
        <v>45.10077274438855</v>
      </c>
      <c r="AD329">
        <v>41.674517918815447</v>
      </c>
    </row>
    <row r="330" spans="16:30" ht="22.5" customHeight="1" x14ac:dyDescent="0.15">
      <c r="P330" s="17">
        <v>8240</v>
      </c>
      <c r="Q330" s="17">
        <v>0</v>
      </c>
      <c r="R330" s="17">
        <v>90</v>
      </c>
      <c r="S330" s="17">
        <f t="array" ref="S330:U330">_xll.hdm_k2xy_data(P330,Q330,R330,$G$3:$N$75)</f>
        <v>4613627.3679999998</v>
      </c>
      <c r="T330" s="17">
        <v>508424.147</v>
      </c>
      <c r="U330" s="17">
        <v>2.0165482510038713</v>
      </c>
      <c r="AC330">
        <f t="array" ref="AC330:AD330">_xll.map_xy2gps(S329,T329,"utm",$Y$4:$Z$8,$AA$4:$AB$8)</f>
        <v>45.100991939129372</v>
      </c>
      <c r="AD330">
        <v>41.674444155809368</v>
      </c>
    </row>
    <row r="331" spans="16:30" ht="22.5" customHeight="1" x14ac:dyDescent="0.15">
      <c r="P331" s="17">
        <v>8260</v>
      </c>
      <c r="Q331" s="17">
        <v>0</v>
      </c>
      <c r="R331" s="17">
        <v>90</v>
      </c>
      <c r="S331" s="17">
        <f t="array" ref="S331:U331">_xll.hdm_k2xy_data(P331,Q331,R331,$G$3:$N$75)</f>
        <v>4613618.5949999997</v>
      </c>
      <c r="T331" s="17">
        <v>508442.12</v>
      </c>
      <c r="U331" s="17">
        <v>2.0332149176705379</v>
      </c>
      <c r="AC331">
        <f t="array" ref="AC331:AD331">_xll.map_xy2gps(S330,T330,"utm",$Y$4:$Z$8,$AA$4:$AB$8)</f>
        <v>45.101209471196007</v>
      </c>
      <c r="AD331">
        <v>41.67436765566606</v>
      </c>
    </row>
    <row r="332" spans="16:30" ht="22.5" customHeight="1" x14ac:dyDescent="0.15">
      <c r="P332" s="17">
        <v>8280</v>
      </c>
      <c r="Q332" s="17">
        <v>0</v>
      </c>
      <c r="R332" s="17">
        <v>90</v>
      </c>
      <c r="S332" s="17">
        <f t="array" ref="S332:U332">_xll.hdm_k2xy_data(P332,Q332,R332,$G$3:$N$75)</f>
        <v>4613609.5240000002</v>
      </c>
      <c r="T332" s="17">
        <v>508459.94500000001</v>
      </c>
      <c r="U332" s="17">
        <v>2.0498815843372045</v>
      </c>
      <c r="AC332">
        <f t="array" ref="AC332:AD332">_xll.map_xy2gps(S331,T331,"utm",$Y$4:$Z$8,$AA$4:$AB$8)</f>
        <v>45.101425268527329</v>
      </c>
      <c r="AD332">
        <v>41.674288445479938</v>
      </c>
    </row>
    <row r="333" spans="16:30" ht="22.5" customHeight="1" x14ac:dyDescent="0.15">
      <c r="P333" s="17">
        <v>8300</v>
      </c>
      <c r="Q333" s="17">
        <v>0</v>
      </c>
      <c r="R333" s="17">
        <v>90</v>
      </c>
      <c r="S333" s="17">
        <f t="array" ref="S333:U333">_xll.hdm_k2xy_data(P333,Q333,R333,$G$3:$N$75)</f>
        <v>4613600.1569999997</v>
      </c>
      <c r="T333" s="17">
        <v>508477.61499999999</v>
      </c>
      <c r="U333" s="17">
        <v>2.0665482510038715</v>
      </c>
      <c r="AC333">
        <f t="array" ref="AC333:AD333">_xll.map_xy2gps(S332,T332,"utm",$Y$4:$Z$8,$AA$4:$AB$8)</f>
        <v>45.10163928309062</v>
      </c>
      <c r="AD333">
        <v>41.674206552324705</v>
      </c>
    </row>
    <row r="334" spans="16:30" ht="22.5" customHeight="1" x14ac:dyDescent="0.15">
      <c r="P334" s="17">
        <v>8320</v>
      </c>
      <c r="Q334" s="17">
        <v>0</v>
      </c>
      <c r="R334" s="17">
        <v>90</v>
      </c>
      <c r="S334" s="17">
        <f t="array" ref="S334:U334">_xll.hdm_k2xy_data(P334,Q334,R334,$G$3:$N$75)</f>
        <v>4613590.4970000004</v>
      </c>
      <c r="T334" s="17">
        <v>508495.12699999998</v>
      </c>
      <c r="U334" s="17">
        <v>2.0832149176705381</v>
      </c>
      <c r="AC334">
        <f t="array" ref="AC334:AD334">_xll.map_xy2gps(S333,T333,"utm",$Y$4:$Z$8,$AA$4:$AB$8)</f>
        <v>45.101851430799201</v>
      </c>
      <c r="AD334">
        <v>41.674121994299071</v>
      </c>
    </row>
    <row r="335" spans="16:30" ht="22.5" customHeight="1" x14ac:dyDescent="0.15">
      <c r="P335" s="17">
        <v>8340</v>
      </c>
      <c r="Q335" s="17">
        <v>0</v>
      </c>
      <c r="R335" s="17">
        <v>90</v>
      </c>
      <c r="S335" s="17">
        <f t="array" ref="S335:U335">_xll.hdm_k2xy_data(P335,Q335,R335,$G$3:$N$75)</f>
        <v>4613580.5470000003</v>
      </c>
      <c r="T335" s="17">
        <v>508512.47600000002</v>
      </c>
      <c r="U335" s="17">
        <v>2.0998815843372047</v>
      </c>
      <c r="AC335">
        <f t="array" ref="AC335:AD335">_xll.map_xy2gps(S334,T334,"utm",$Y$4:$Z$8,$AA$4:$AB$8)</f>
        <v>45.102061675636087</v>
      </c>
      <c r="AD335">
        <v>41.674034798466778</v>
      </c>
    </row>
    <row r="336" spans="16:30" ht="22.5" customHeight="1" x14ac:dyDescent="0.15">
      <c r="P336" s="17">
        <v>8360</v>
      </c>
      <c r="Q336" s="17">
        <v>0</v>
      </c>
      <c r="R336" s="17">
        <v>90</v>
      </c>
      <c r="S336" s="17">
        <f t="array" ref="S336:U336">_xll.hdm_k2xy_data(P336,Q336,R336,$G$3:$N$75)</f>
        <v>4613570.3080000002</v>
      </c>
      <c r="T336" s="17">
        <v>508529.65700000001</v>
      </c>
      <c r="U336" s="17">
        <v>2.1165482510038713</v>
      </c>
      <c r="AC336">
        <f t="array" ref="AC336:AD336">_xll.map_xy2gps(S335,T335,"utm",$Y$4:$Z$8,$AA$4:$AB$8)</f>
        <v>45.102269957558192</v>
      </c>
      <c r="AD336">
        <v>41.673944991913089</v>
      </c>
    </row>
    <row r="337" spans="16:30" ht="22.5" customHeight="1" x14ac:dyDescent="0.15">
      <c r="P337" s="17">
        <v>8380</v>
      </c>
      <c r="Q337" s="17">
        <v>0</v>
      </c>
      <c r="R337" s="17">
        <v>90</v>
      </c>
      <c r="S337" s="17">
        <f t="array" ref="S337:U337">_xll.hdm_k2xy_data(P337,Q337,R337,$G$3:$N$75)</f>
        <v>4613559.7850000001</v>
      </c>
      <c r="T337" s="17">
        <v>508546.66399999999</v>
      </c>
      <c r="U337" s="17">
        <v>2.1332149176705379</v>
      </c>
      <c r="AC337">
        <f t="array" ref="AC337:AD337">_xll.map_xy2gps(S336,T336,"utm",$Y$4:$Z$8,$AA$4:$AB$8)</f>
        <v>45.102476216494999</v>
      </c>
      <c r="AD337">
        <v>41.673852583709298</v>
      </c>
    </row>
    <row r="338" spans="16:30" ht="22.5" customHeight="1" x14ac:dyDescent="0.15">
      <c r="P338" s="17">
        <v>8400</v>
      </c>
      <c r="Q338" s="17">
        <v>0</v>
      </c>
      <c r="R338" s="17">
        <v>90</v>
      </c>
      <c r="S338" s="17">
        <f t="array" ref="S338:U338">_xll.hdm_k2xy_data(P338,Q338,R338,$G$3:$N$75)</f>
        <v>4613548.983</v>
      </c>
      <c r="T338" s="17">
        <v>508563.495</v>
      </c>
      <c r="U338" s="17">
        <v>2.1492383469026257</v>
      </c>
      <c r="AC338">
        <f t="array" ref="AC338:AD338">_xll.map_xy2gps(S337,T337,"utm",$Y$4:$Z$8,$AA$4:$AB$8)</f>
        <v>45.102680380420651</v>
      </c>
      <c r="AD338">
        <v>41.673757618966441</v>
      </c>
    </row>
    <row r="339" spans="16:30" ht="22.5" customHeight="1" x14ac:dyDescent="0.15">
      <c r="P339" s="17">
        <v>8420</v>
      </c>
      <c r="Q339" s="17">
        <v>0</v>
      </c>
      <c r="R339" s="17">
        <v>90</v>
      </c>
      <c r="S339" s="17">
        <f t="array" ref="S339:U339">_xll.hdm_k2xy_data(P339,Q339,R339,$G$3:$N$75)</f>
        <v>4613537.9309999999</v>
      </c>
      <c r="T339" s="17">
        <v>508580.16399999999</v>
      </c>
      <c r="U339" s="17">
        <v>2.1628620424778648</v>
      </c>
      <c r="AC339">
        <f t="array" ref="AC339:AD339">_xll.map_xy2gps(S338,T338,"utm",$Y$4:$Z$8,$AA$4:$AB$8)</f>
        <v>45.102882425364868</v>
      </c>
      <c r="AD339">
        <v>41.673660142752873</v>
      </c>
    </row>
    <row r="340" spans="16:30" ht="22.5" customHeight="1" x14ac:dyDescent="0.15">
      <c r="P340" s="17">
        <v>8440</v>
      </c>
      <c r="Q340" s="17">
        <v>0</v>
      </c>
      <c r="R340" s="17">
        <v>90</v>
      </c>
      <c r="S340" s="17">
        <f t="array" ref="S340:U340">_xll.hdm_k2xy_data(P340,Q340,R340,$G$3:$N$75)</f>
        <v>4613526.6739999996</v>
      </c>
      <c r="T340" s="17">
        <v>508596.69500000001</v>
      </c>
      <c r="U340" s="17">
        <v>2.1739857618031642</v>
      </c>
      <c r="AC340">
        <f t="array" ref="AC340:AD340">_xll.map_xy2gps(S339,T339,"utm",$Y$4:$Z$8,$AA$4:$AB$8)</f>
        <v>45.103082519919433</v>
      </c>
      <c r="AD340">
        <v>41.673560416136709</v>
      </c>
    </row>
    <row r="341" spans="16:30" ht="22.5" customHeight="1" x14ac:dyDescent="0.15">
      <c r="P341" s="17">
        <v>8460</v>
      </c>
      <c r="Q341" s="17">
        <v>0</v>
      </c>
      <c r="R341" s="17">
        <v>90</v>
      </c>
      <c r="S341" s="17">
        <f t="array" ref="S341:U341">_xll.hdm_k2xy_data(P341,Q341,R341,$G$3:$N$75)</f>
        <v>4613515.2539999997</v>
      </c>
      <c r="T341" s="17">
        <v>508613.114</v>
      </c>
      <c r="U341" s="17">
        <v>2.1826095048785228</v>
      </c>
      <c r="AC341">
        <f t="array" ref="AC341:AD341">_xll.map_xy2gps(S340,T340,"utm",$Y$4:$Z$8,$AA$4:$AB$8)</f>
        <v>45.103280953043978</v>
      </c>
      <c r="AD341">
        <v>41.673458844191451</v>
      </c>
    </row>
    <row r="342" spans="16:30" ht="22.5" customHeight="1" x14ac:dyDescent="0.15">
      <c r="P342" s="17">
        <v>8480</v>
      </c>
      <c r="Q342" s="17">
        <v>0</v>
      </c>
      <c r="R342" s="17">
        <v>90</v>
      </c>
      <c r="S342" s="17">
        <f t="array" ref="S342:U342">_xll.hdm_k2xy_data(P342,Q342,R342,$G$3:$N$75)</f>
        <v>4613503.7139999997</v>
      </c>
      <c r="T342" s="17">
        <v>508629.44799999997</v>
      </c>
      <c r="U342" s="17">
        <v>2.1887332717039412</v>
      </c>
      <c r="AC342">
        <f t="array" ref="AC342:AD342">_xll.map_xy2gps(S341,T341,"utm",$Y$4:$Z$8,$AA$4:$AB$8)</f>
        <v>45.103478037685178</v>
      </c>
      <c r="AD342">
        <v>41.673355804945501</v>
      </c>
    </row>
    <row r="343" spans="16:30" ht="22.5" customHeight="1" x14ac:dyDescent="0.15">
      <c r="P343" s="17">
        <v>8500</v>
      </c>
      <c r="Q343" s="17">
        <v>0</v>
      </c>
      <c r="R343" s="17">
        <v>90</v>
      </c>
      <c r="S343" s="17">
        <f t="array" ref="S343:U343">_xll.hdm_k2xy_data(P343,Q343,R343,$G$3:$N$75)</f>
        <v>4613492.0939999996</v>
      </c>
      <c r="T343" s="17">
        <v>508645.72600000002</v>
      </c>
      <c r="U343" s="17">
        <v>2.1923570622794193</v>
      </c>
      <c r="AC343">
        <f t="array" ref="AC343:AD343">_xll.map_xy2gps(S342,T342,"utm",$Y$4:$Z$8,$AA$4:$AB$8)</f>
        <v>45.103674098820505</v>
      </c>
      <c r="AD343">
        <v>41.673251685421384</v>
      </c>
    </row>
    <row r="344" spans="16:30" ht="22.5" customHeight="1" x14ac:dyDescent="0.15">
      <c r="P344" s="17">
        <v>8520</v>
      </c>
      <c r="Q344" s="17">
        <v>0</v>
      </c>
      <c r="R344" s="17">
        <v>90</v>
      </c>
      <c r="S344" s="17">
        <f t="array" ref="S344:U344">_xll.hdm_k2xy_data(P344,Q344,R344,$G$3:$N$75)</f>
        <v>4613480.4359999998</v>
      </c>
      <c r="T344" s="17">
        <v>508661.978</v>
      </c>
      <c r="U344" s="17">
        <v>2.193479585416505</v>
      </c>
      <c r="AC344">
        <f t="array" ref="AC344:AD344">_xll.map_xy2gps(S343,T343,"utm",$Y$4:$Z$8,$AA$4:$AB$8)</f>
        <v>45.10386948541354</v>
      </c>
      <c r="AD344">
        <v>41.673146845596143</v>
      </c>
    </row>
    <row r="345" spans="16:30" ht="22.5" customHeight="1" x14ac:dyDescent="0.15">
      <c r="P345" s="17">
        <v>8540</v>
      </c>
      <c r="Q345" s="17">
        <v>0</v>
      </c>
      <c r="R345" s="17">
        <v>90</v>
      </c>
      <c r="S345" s="17">
        <f t="array" ref="S345:U345">_xll.hdm_k2xy_data(P345,Q345,R345,$G$3:$N$75)</f>
        <v>4613468.7790000001</v>
      </c>
      <c r="T345" s="17">
        <v>508678.23</v>
      </c>
      <c r="U345" s="17">
        <v>2.1921032734897232</v>
      </c>
      <c r="AC345">
        <f t="array" ref="AC345:AD345">_xll.map_xy2gps(S344,T344,"utm",$Y$4:$Z$8,$AA$4:$AB$8)</f>
        <v>45.104064558472416</v>
      </c>
      <c r="AD345">
        <v>41.673041663447982</v>
      </c>
    </row>
    <row r="346" spans="16:30" ht="22.5" customHeight="1" x14ac:dyDescent="0.15">
      <c r="P346" s="17">
        <v>8560</v>
      </c>
      <c r="Q346" s="17">
        <v>0</v>
      </c>
      <c r="R346" s="17">
        <v>90</v>
      </c>
      <c r="S346" s="17">
        <f t="array" ref="S346:U346">_xll.hdm_k2xy_data(P346,Q346,R346,$G$3:$N$75)</f>
        <v>4613457.165</v>
      </c>
      <c r="T346" s="17">
        <v>508694.51199999999</v>
      </c>
      <c r="U346" s="17">
        <v>2.1882269853130012</v>
      </c>
      <c r="AC346">
        <f t="array" ref="AC346:AD346">_xll.map_xy2gps(S345,T345,"utm",$Y$4:$Z$8,$AA$4:$AB$8)</f>
        <v>45.104259630910356</v>
      </c>
      <c r="AD346">
        <v>41.672936489974703</v>
      </c>
    </row>
    <row r="347" spans="16:30" ht="22.5" customHeight="1" x14ac:dyDescent="0.15">
      <c r="P347" s="17">
        <v>8580</v>
      </c>
      <c r="Q347" s="17">
        <v>0</v>
      </c>
      <c r="R347" s="17">
        <v>90</v>
      </c>
      <c r="S347" s="17">
        <f t="array" ref="S347:U347">_xll.hdm_k2xy_data(P347,Q347,R347,$G$3:$N$75)</f>
        <v>4613445.6349999998</v>
      </c>
      <c r="T347" s="17">
        <v>508710.85399999999</v>
      </c>
      <c r="U347" s="17">
        <v>2.1818507208863389</v>
      </c>
      <c r="AC347">
        <f t="array" ref="AC347:AD347">_xll.map_xy2gps(S346,T346,"utm",$Y$4:$Z$8,$AA$4:$AB$8)</f>
        <v>45.104455063739934</v>
      </c>
      <c r="AD347">
        <v>41.672831703149846</v>
      </c>
    </row>
    <row r="348" spans="16:30" ht="22.5" customHeight="1" x14ac:dyDescent="0.15">
      <c r="P348" s="17">
        <v>8600</v>
      </c>
      <c r="Q348" s="17">
        <v>0</v>
      </c>
      <c r="R348" s="17">
        <v>90</v>
      </c>
      <c r="S348" s="17">
        <f t="array" ref="S348:U348">_xll.hdm_k2xy_data(P348,Q348,R348,$G$3:$N$75)</f>
        <v>4613434.2300000004</v>
      </c>
      <c r="T348" s="17">
        <v>508727.283</v>
      </c>
      <c r="U348" s="17">
        <v>2.1729744802097364</v>
      </c>
      <c r="AC348">
        <f t="array" ref="AC348:AD348">_xll.map_xy2gps(S347,T347,"utm",$Y$4:$Z$8,$AA$4:$AB$8)</f>
        <v>45.104651217961347</v>
      </c>
      <c r="AD348">
        <v>41.672727671937395</v>
      </c>
    </row>
    <row r="349" spans="16:30" ht="22.5" customHeight="1" x14ac:dyDescent="0.15">
      <c r="P349" s="17">
        <v>8620</v>
      </c>
      <c r="Q349" s="17">
        <v>0</v>
      </c>
      <c r="R349" s="17">
        <v>90</v>
      </c>
      <c r="S349" s="17">
        <f t="array" ref="S349:U349">_xll.hdm_k2xy_data(P349,Q349,R349,$G$3:$N$75)</f>
        <v>4613422.9919999996</v>
      </c>
      <c r="T349" s="17">
        <v>508743.82699999999</v>
      </c>
      <c r="U349" s="17">
        <v>2.1615982632831932</v>
      </c>
      <c r="AC349">
        <f t="array" ref="AC349:AD349">_xll.map_xy2gps(S348,T348,"utm",$Y$4:$Z$8,$AA$4:$AB$8)</f>
        <v>45.10484841853701</v>
      </c>
      <c r="AD349">
        <v>41.672624765331726</v>
      </c>
    </row>
    <row r="350" spans="16:30" ht="22.5" customHeight="1" x14ac:dyDescent="0.15">
      <c r="P350" s="17">
        <v>8640</v>
      </c>
      <c r="Q350" s="17">
        <v>0</v>
      </c>
      <c r="R350" s="17">
        <v>90</v>
      </c>
      <c r="S350" s="17">
        <f t="array" ref="S350:U350">_xll.hdm_k2xy_data(P350,Q350,R350,$G$3:$N$75)</f>
        <v>4613411.9630000005</v>
      </c>
      <c r="T350" s="17">
        <v>508760.511</v>
      </c>
      <c r="U350" s="17">
        <v>2.1477220701067101</v>
      </c>
      <c r="AC350">
        <f t="array" ref="AC350:AD350">_xll.map_xy2gps(S349,T349,"utm",$Y$4:$Z$8,$AA$4:$AB$8)</f>
        <v>45.105047002459813</v>
      </c>
      <c r="AD350">
        <v>41.672523361321126</v>
      </c>
    </row>
    <row r="351" spans="16:30" ht="22.5" customHeight="1" x14ac:dyDescent="0.15">
      <c r="P351" s="17">
        <v>8660</v>
      </c>
      <c r="Q351" s="17">
        <v>0</v>
      </c>
      <c r="R351" s="17">
        <v>90</v>
      </c>
      <c r="S351" s="17">
        <f t="array" ref="S351:U351">_xll.hdm_k2xy_data(P351,Q351,R351,$G$3:$N$75)</f>
        <v>4613401.1880000001</v>
      </c>
      <c r="T351" s="17">
        <v>508777.359</v>
      </c>
      <c r="U351" s="17">
        <v>2.1315298561533536</v>
      </c>
      <c r="AC351">
        <f t="array" ref="AC351:AD351">_xll.map_xy2gps(S350,T350,"utm",$Y$4:$Z$8,$AA$4:$AB$8)</f>
        <v>45.105247270685418</v>
      </c>
      <c r="AD351">
        <v>41.672423837924633</v>
      </c>
    </row>
    <row r="352" spans="16:30" ht="22.5" customHeight="1" x14ac:dyDescent="0.15">
      <c r="P352" s="17">
        <v>8680</v>
      </c>
      <c r="Q352" s="17">
        <v>0</v>
      </c>
      <c r="R352" s="17">
        <v>90</v>
      </c>
      <c r="S352" s="17">
        <f t="array" ref="S352:U352">_xll.hdm_k2xy_data(P352,Q352,R352,$G$3:$N$75)</f>
        <v>4613390.6940000001</v>
      </c>
      <c r="T352" s="17">
        <v>508794.38500000001</v>
      </c>
      <c r="U352" s="17">
        <v>2.1148631894866869</v>
      </c>
      <c r="AC352">
        <f t="array" ref="AC352:AD352">_xll.map_xy2gps(S351,T351,"utm",$Y$4:$Z$8,$AA$4:$AB$8)</f>
        <v>45.105449512203457</v>
      </c>
      <c r="AD352">
        <v>41.672326600191582</v>
      </c>
    </row>
    <row r="353" spans="16:30" ht="22.5" customHeight="1" x14ac:dyDescent="0.15">
      <c r="P353" s="17">
        <v>8700</v>
      </c>
      <c r="Q353" s="17">
        <v>0</v>
      </c>
      <c r="R353" s="17">
        <v>90</v>
      </c>
      <c r="S353" s="17">
        <f t="array" ref="S353:U353">_xll.hdm_k2xy_data(P353,Q353,R353,$G$3:$N$75)</f>
        <v>4613380.4840000002</v>
      </c>
      <c r="T353" s="17">
        <v>508811.58199999999</v>
      </c>
      <c r="U353" s="17">
        <v>2.0981965228200203</v>
      </c>
      <c r="AC353">
        <f t="array" ref="AC353:AD353">_xll.map_xy2gps(S352,T352,"utm",$Y$4:$Z$8,$AA$4:$AB$8)</f>
        <v>45.105653895609613</v>
      </c>
      <c r="AD353">
        <v>41.672231891150652</v>
      </c>
    </row>
    <row r="354" spans="16:30" ht="22.5" customHeight="1" x14ac:dyDescent="0.15">
      <c r="P354" s="17">
        <v>8720</v>
      </c>
      <c r="Q354" s="17">
        <v>0</v>
      </c>
      <c r="R354" s="17">
        <v>90</v>
      </c>
      <c r="S354" s="17">
        <f t="array" ref="S354:U354">_xll.hdm_k2xy_data(P354,Q354,R354,$G$3:$N$75)</f>
        <v>4613370.5630000001</v>
      </c>
      <c r="T354" s="17">
        <v>508828.94799999997</v>
      </c>
      <c r="U354" s="17">
        <v>2.0815298561533537</v>
      </c>
      <c r="AC354">
        <f t="array" ref="AC354:AD354">_xll.map_xy2gps(S353,T353,"utm",$Y$4:$Z$8,$AA$4:$AB$8)</f>
        <v>45.105860336870016</v>
      </c>
      <c r="AD354">
        <v>41.672139737889424</v>
      </c>
    </row>
    <row r="355" spans="16:30" ht="22.5" customHeight="1" x14ac:dyDescent="0.15">
      <c r="P355" s="17">
        <v>8740</v>
      </c>
      <c r="Q355" s="17">
        <v>0</v>
      </c>
      <c r="R355" s="17">
        <v>90</v>
      </c>
      <c r="S355" s="17">
        <f t="array" ref="S355:U355">_xll.hdm_k2xy_data(P355,Q355,R355,$G$3:$N$75)</f>
        <v>4613360.932</v>
      </c>
      <c r="T355" s="17">
        <v>508846.47600000002</v>
      </c>
      <c r="U355" s="17">
        <v>2.0648631894866871</v>
      </c>
      <c r="AC355">
        <f t="array" ref="AC355:AD355">_xll.map_xy2gps(S354,T354,"utm",$Y$4:$Z$8,$AA$4:$AB$8)</f>
        <v>45.106068812047802</v>
      </c>
      <c r="AD355">
        <v>41.672050185454992</v>
      </c>
    </row>
    <row r="356" spans="16:30" ht="22.5" customHeight="1" x14ac:dyDescent="0.15">
      <c r="P356" s="17">
        <v>8760</v>
      </c>
      <c r="Q356" s="17">
        <v>0</v>
      </c>
      <c r="R356" s="17">
        <v>90</v>
      </c>
      <c r="S356" s="17">
        <f t="array" ref="S356:U356">_xll.hdm_k2xy_data(P356,Q356,R356,$G$3:$N$75)</f>
        <v>4613351.5949999997</v>
      </c>
      <c r="T356" s="17">
        <v>508864.163</v>
      </c>
      <c r="U356" s="17">
        <v>2.0481965228200205</v>
      </c>
      <c r="AC356">
        <f t="array" ref="AC356:AD356">_xll.map_xy2gps(S355,T355,"utm",$Y$4:$Z$8,$AA$4:$AB$8)</f>
        <v>45.106279237082056</v>
      </c>
      <c r="AD356">
        <v>41.671963242921272</v>
      </c>
    </row>
    <row r="357" spans="16:30" ht="22.5" customHeight="1" x14ac:dyDescent="0.15">
      <c r="P357" s="17">
        <v>8780</v>
      </c>
      <c r="Q357" s="17">
        <v>0</v>
      </c>
      <c r="R357" s="17">
        <v>90</v>
      </c>
      <c r="S357" s="17">
        <f t="array" ref="S357:U357">_xll.hdm_k2xy_data(P357,Q357,R357,$G$3:$N$75)</f>
        <v>4613342.5539999995</v>
      </c>
      <c r="T357" s="17">
        <v>508882.00199999998</v>
      </c>
      <c r="U357" s="17">
        <v>2.0315298561533539</v>
      </c>
      <c r="AC357">
        <f t="array" ref="AC357:AD357">_xll.map_xy2gps(S356,T356,"utm",$Y$4:$Z$8,$AA$4:$AB$8)</f>
        <v>45.106491576010164</v>
      </c>
      <c r="AD357">
        <v>41.671878946339724</v>
      </c>
    </row>
    <row r="358" spans="16:30" ht="22.5" customHeight="1" x14ac:dyDescent="0.15">
      <c r="P358" s="17">
        <v>8800</v>
      </c>
      <c r="Q358" s="17">
        <v>0</v>
      </c>
      <c r="R358" s="17">
        <v>90</v>
      </c>
      <c r="S358" s="17">
        <f t="array" ref="S358:U358">_xll.hdm_k2xy_data(P358,Q358,R358,$G$3:$N$75)</f>
        <v>4613333.8119999999</v>
      </c>
      <c r="T358" s="17">
        <v>508899.99</v>
      </c>
      <c r="U358" s="17">
        <v>2.0148631894866869</v>
      </c>
      <c r="AC358">
        <f t="array" ref="AC358:AD358">_xll.map_xy2gps(S357,T357,"utm",$Y$4:$Z$8,$AA$4:$AB$8)</f>
        <v>45.106705744788215</v>
      </c>
      <c r="AD358">
        <v>41.671797313792226</v>
      </c>
    </row>
    <row r="359" spans="16:30" ht="22.5" customHeight="1" x14ac:dyDescent="0.15">
      <c r="P359" s="17">
        <v>8820</v>
      </c>
      <c r="Q359" s="17">
        <v>0</v>
      </c>
      <c r="R359" s="17">
        <v>90</v>
      </c>
      <c r="S359" s="17">
        <f t="array" ref="S359:U359">_xll.hdm_k2xy_data(P359,Q359,R359,$G$3:$N$75)</f>
        <v>4613325.3710000003</v>
      </c>
      <c r="T359" s="17">
        <v>508918.12099999998</v>
      </c>
      <c r="U359" s="17">
        <v>1.9981965228200202</v>
      </c>
      <c r="AC359">
        <f t="array" ref="AC359:AD359">_xll.map_xy2gps(S358,T358,"utm",$Y$4:$Z$8,$AA$4:$AB$8)</f>
        <v>45.106921707440961</v>
      </c>
      <c r="AD359">
        <v>41.671718372323689</v>
      </c>
    </row>
    <row r="360" spans="16:30" ht="22.5" customHeight="1" x14ac:dyDescent="0.15">
      <c r="P360" s="17">
        <v>8840</v>
      </c>
      <c r="Q360" s="17">
        <v>0</v>
      </c>
      <c r="R360" s="17">
        <v>90</v>
      </c>
      <c r="S360" s="17">
        <f t="array" ref="S360:U360">_xll.hdm_k2xy_data(P360,Q360,R360,$G$3:$N$75)</f>
        <v>4613317.233</v>
      </c>
      <c r="T360" s="17">
        <v>508936.39</v>
      </c>
      <c r="U360" s="17">
        <v>1.9815298561533536</v>
      </c>
      <c r="AC360">
        <f t="array" ref="AC360:AD360">_xll.map_xy2gps(S359,T359,"utm",$Y$4:$Z$8,$AA$4:$AB$8)</f>
        <v>45.107139391939782</v>
      </c>
      <c r="AD360">
        <v>41.671642140005588</v>
      </c>
    </row>
    <row r="361" spans="16:30" ht="22.5" customHeight="1" x14ac:dyDescent="0.15">
      <c r="P361" s="17">
        <v>8860</v>
      </c>
      <c r="Q361" s="17">
        <v>0</v>
      </c>
      <c r="R361" s="17">
        <v>90</v>
      </c>
      <c r="S361" s="17">
        <f t="array" ref="S361:U361">_xll.hdm_k2xy_data(P361,Q361,R361,$G$3:$N$75)</f>
        <v>4613309.4000000004</v>
      </c>
      <c r="T361" s="17">
        <v>508954.79200000002</v>
      </c>
      <c r="U361" s="17">
        <v>1.964863189486687</v>
      </c>
      <c r="AC361">
        <f t="array" ref="AC361:AD361">_xll.map_xy2gps(S360,T360,"utm",$Y$4:$Z$8,$AA$4:$AB$8)</f>
        <v>45.107358738270214</v>
      </c>
      <c r="AD361">
        <v>41.671568634898655</v>
      </c>
    </row>
    <row r="362" spans="16:30" ht="22.5" customHeight="1" x14ac:dyDescent="0.15">
      <c r="P362" s="17">
        <v>8880</v>
      </c>
      <c r="Q362" s="17">
        <v>0</v>
      </c>
      <c r="R362" s="17">
        <v>90</v>
      </c>
      <c r="S362" s="17">
        <f t="array" ref="S362:U362">_xll.hdm_k2xy_data(P362,Q362,R362,$G$3:$N$75)</f>
        <v>4613301.875</v>
      </c>
      <c r="T362" s="17">
        <v>508973.32299999997</v>
      </c>
      <c r="U362" s="17">
        <v>1.9481965228200204</v>
      </c>
      <c r="AC362">
        <f t="array" ref="AC362:AD362">_xll.map_xy2gps(S361,T361,"utm",$Y$4:$Z$8,$AA$4:$AB$8)</f>
        <v>45.107579686418717</v>
      </c>
      <c r="AD362">
        <v>41.671497875064034</v>
      </c>
    </row>
    <row r="363" spans="16:30" ht="22.5" customHeight="1" x14ac:dyDescent="0.15">
      <c r="P363" s="17">
        <v>8900</v>
      </c>
      <c r="Q363" s="17">
        <v>0</v>
      </c>
      <c r="R363" s="17">
        <v>90</v>
      </c>
      <c r="S363" s="17">
        <f t="array" ref="S363:U363">_xll.hdm_k2xy_data(P363,Q363,R363,$G$3:$N$75)</f>
        <v>4613294.6610000003</v>
      </c>
      <c r="T363" s="17">
        <v>508991.97600000002</v>
      </c>
      <c r="U363" s="17">
        <v>1.9315298561533538</v>
      </c>
      <c r="AC363">
        <f t="array" ref="AC363:AD363">_xll.map_xy2gps(S362,T362,"utm",$Y$4:$Z$8,$AA$4:$AB$8)</f>
        <v>45.107802188400832</v>
      </c>
      <c r="AD363">
        <v>41.671429887559128</v>
      </c>
    </row>
    <row r="364" spans="16:30" ht="22.5" customHeight="1" x14ac:dyDescent="0.15">
      <c r="P364" s="17">
        <v>8920</v>
      </c>
      <c r="Q364" s="17">
        <v>0</v>
      </c>
      <c r="R364" s="17">
        <v>90</v>
      </c>
      <c r="S364" s="17">
        <f t="array" ref="S364:U364">_xll.hdm_k2xy_data(P364,Q364,R364,$G$3:$N$75)</f>
        <v>4613287.7580000004</v>
      </c>
      <c r="T364" s="17">
        <v>509010.74599999998</v>
      </c>
      <c r="U364" s="17">
        <v>1.914863189486687</v>
      </c>
      <c r="AC364">
        <f t="array" ref="AC364:AD364">_xll.map_xy2gps(S363,T363,"utm",$Y$4:$Z$8,$AA$4:$AB$8)</f>
        <v>45.108026160193788</v>
      </c>
      <c r="AD364">
        <v>41.671364699475511</v>
      </c>
    </row>
    <row r="365" spans="16:30" ht="22.5" customHeight="1" x14ac:dyDescent="0.15">
      <c r="P365" s="17">
        <v>8940</v>
      </c>
      <c r="Q365" s="17">
        <v>0</v>
      </c>
      <c r="R365" s="17">
        <v>90</v>
      </c>
      <c r="S365" s="17">
        <f t="array" ref="S365:U365">_xll.hdm_k2xy_data(P365,Q365,R365,$G$3:$N$75)</f>
        <v>4613281.1679999996</v>
      </c>
      <c r="T365" s="17">
        <v>509029.63</v>
      </c>
      <c r="U365" s="17">
        <v>1.8981965228200204</v>
      </c>
      <c r="AC365">
        <f t="array" ref="AC365:AD365">_xll.map_xy2gps(S364,T364,"utm",$Y$4:$Z$8,$AA$4:$AB$8)</f>
        <v>45.108251541756793</v>
      </c>
      <c r="AD365">
        <v>41.671302310861208</v>
      </c>
    </row>
    <row r="366" spans="16:30" ht="22.5" customHeight="1" x14ac:dyDescent="0.15">
      <c r="P366" s="17">
        <v>8960</v>
      </c>
      <c r="Q366" s="17">
        <v>0</v>
      </c>
      <c r="R366" s="17">
        <v>90</v>
      </c>
      <c r="S366" s="17">
        <f t="array" ref="S366:U366">_xll.hdm_k2xy_data(P366,Q366,R366,$G$3:$N$75)</f>
        <v>4613274.8949999996</v>
      </c>
      <c r="T366" s="17">
        <v>509048.62</v>
      </c>
      <c r="U366" s="17">
        <v>1.8815298561533538</v>
      </c>
      <c r="AC366">
        <f t="array" ref="AC366:AD366">_xll.map_xy2gps(S365,T365,"utm",$Y$4:$Z$8,$AA$4:$AB$8)</f>
        <v>45.108478297106082</v>
      </c>
      <c r="AD366">
        <v>41.671242739756366</v>
      </c>
    </row>
    <row r="367" spans="16:30" ht="22.5" customHeight="1" x14ac:dyDescent="0.15">
      <c r="P367" s="17">
        <v>8980</v>
      </c>
      <c r="Q367" s="17">
        <v>0</v>
      </c>
      <c r="R367" s="17">
        <v>90</v>
      </c>
      <c r="S367" s="17">
        <f t="array" ref="S367:U367">_xll.hdm_k2xy_data(P367,Q367,R367,$G$3:$N$75)</f>
        <v>4613268.9390000002</v>
      </c>
      <c r="T367" s="17">
        <v>509067.712</v>
      </c>
      <c r="U367" s="17">
        <v>1.8648631894866869</v>
      </c>
      <c r="AC367">
        <f t="array" ref="AC367:AD367">_xll.map_xy2gps(S366,T366,"utm",$Y$4:$Z$8,$AA$4:$AB$8)</f>
        <v>45.108706330223633</v>
      </c>
      <c r="AD367">
        <v>41.67118602227243</v>
      </c>
    </row>
    <row r="368" spans="16:30" ht="22.5" customHeight="1" x14ac:dyDescent="0.15">
      <c r="P368" s="17">
        <v>9000</v>
      </c>
      <c r="Q368" s="17">
        <v>0</v>
      </c>
      <c r="R368" s="17">
        <v>90</v>
      </c>
      <c r="S368" s="17">
        <f t="array" ref="S368:U368">_xll.hdm_k2xy_data(P368,Q368,R368,$G$3:$N$75)</f>
        <v>4613263.3020000001</v>
      </c>
      <c r="T368" s="17">
        <v>509086.90100000001</v>
      </c>
      <c r="U368" s="17">
        <v>1.8481965228200203</v>
      </c>
      <c r="AC368">
        <f t="array" ref="AC368:AD368">_xll.map_xy2gps(S367,T367,"utm",$Y$4:$Z$8,$AA$4:$AB$8)</f>
        <v>45.10893559308407</v>
      </c>
      <c r="AD368">
        <v>41.671132158447449</v>
      </c>
    </row>
    <row r="369" spans="16:30" ht="22.5" customHeight="1" x14ac:dyDescent="0.15">
      <c r="P369" s="17">
        <v>9020</v>
      </c>
      <c r="Q369" s="17">
        <v>0</v>
      </c>
      <c r="R369" s="17">
        <v>90</v>
      </c>
      <c r="S369" s="17">
        <f t="array" ref="S369:U369">_xll.hdm_k2xy_data(P369,Q369,R369,$G$3:$N$75)</f>
        <v>4613257.9850000003</v>
      </c>
      <c r="T369" s="17">
        <v>509106.18099999998</v>
      </c>
      <c r="U369" s="17">
        <v>1.8315298561533537</v>
      </c>
      <c r="AC369">
        <f t="array" ref="AC369:AD369">_xll.map_xy2gps(S368,T368,"utm",$Y$4:$Z$8,$AA$4:$AB$8)</f>
        <v>45.109166025679883</v>
      </c>
      <c r="AD369">
        <v>41.671081166345445</v>
      </c>
    </row>
    <row r="370" spans="16:30" ht="22.5" customHeight="1" x14ac:dyDescent="0.15">
      <c r="P370" s="17">
        <v>9040</v>
      </c>
      <c r="Q370" s="17">
        <v>0</v>
      </c>
      <c r="R370" s="17">
        <v>90</v>
      </c>
      <c r="S370" s="17">
        <f t="array" ref="S370:U370">_xll.hdm_k2xy_data(P370,Q370,R370,$G$3:$N$75)</f>
        <v>4613252.99</v>
      </c>
      <c r="T370" s="17">
        <v>509125.54700000002</v>
      </c>
      <c r="U370" s="17">
        <v>1.8148631894866871</v>
      </c>
      <c r="AC370">
        <f t="array" ref="AC370:AD370">_xll.map_xy2gps(S369,T369,"utm",$Y$4:$Z$8,$AA$4:$AB$8)</f>
        <v>45.109397555976095</v>
      </c>
      <c r="AD370">
        <v>41.671033055035196</v>
      </c>
    </row>
    <row r="371" spans="16:30" ht="22.5" customHeight="1" x14ac:dyDescent="0.15">
      <c r="P371" s="17">
        <v>9060</v>
      </c>
      <c r="Q371" s="17">
        <v>0</v>
      </c>
      <c r="R371" s="17">
        <v>90</v>
      </c>
      <c r="S371" s="17">
        <f t="array" ref="S371:U371">_xll.hdm_k2xy_data(P371,Q371,R371,$G$3:$N$75)</f>
        <v>4613248.3190000001</v>
      </c>
      <c r="T371" s="17">
        <v>509144.99400000001</v>
      </c>
      <c r="U371" s="17">
        <v>1.7981965228200203</v>
      </c>
      <c r="AC371">
        <f t="array" ref="AC371:AD371">_xll.map_xy2gps(S370,T370,"utm",$Y$4:$Z$8,$AA$4:$AB$8)</f>
        <v>45.109630123966639</v>
      </c>
      <c r="AD371">
        <v>41.670987842581745</v>
      </c>
    </row>
    <row r="372" spans="16:30" ht="22.5" customHeight="1" x14ac:dyDescent="0.15">
      <c r="P372" s="17">
        <v>9080</v>
      </c>
      <c r="Q372" s="17">
        <v>0</v>
      </c>
      <c r="R372" s="17">
        <v>90</v>
      </c>
      <c r="S372" s="17">
        <f t="array" ref="S372:U372">_xll.hdm_k2xy_data(P372,Q372,R372,$G$3:$N$75)</f>
        <v>4613243.9730000002</v>
      </c>
      <c r="T372" s="17">
        <v>509164.516</v>
      </c>
      <c r="U372" s="17">
        <v>1.7815298561533537</v>
      </c>
      <c r="AC372">
        <f t="array" ref="AC372:AD372">_xll.map_xy2gps(S371,T371,"utm",$Y$4:$Z$8,$AA$4:$AB$8)</f>
        <v>45.109863669646188</v>
      </c>
      <c r="AD372">
        <v>41.670945547050572</v>
      </c>
    </row>
    <row r="373" spans="16:30" ht="22.5" customHeight="1" x14ac:dyDescent="0.15">
      <c r="P373" s="17">
        <v>9100</v>
      </c>
      <c r="Q373" s="17">
        <v>0</v>
      </c>
      <c r="R373" s="17">
        <v>90</v>
      </c>
      <c r="S373" s="17">
        <f t="array" ref="S373:U373">_xll.hdm_k2xy_data(P373,Q373,R373,$G$3:$N$75)</f>
        <v>4613239.9529999997</v>
      </c>
      <c r="T373" s="17">
        <v>509184.10700000002</v>
      </c>
      <c r="U373" s="17">
        <v>1.7648631894866871</v>
      </c>
      <c r="AC373">
        <f t="array" ref="AC373:AD373">_xll.map_xy2gps(S372,T372,"utm",$Y$4:$Z$8,$AA$4:$AB$8)</f>
        <v>45.110098120981732</v>
      </c>
      <c r="AD373">
        <v>41.670906177511945</v>
      </c>
    </row>
    <row r="374" spans="16:30" ht="22.5" customHeight="1" x14ac:dyDescent="0.15">
      <c r="P374" s="17">
        <v>9120</v>
      </c>
      <c r="Q374" s="17">
        <v>0</v>
      </c>
      <c r="R374" s="17">
        <v>90</v>
      </c>
      <c r="S374" s="17">
        <f t="array" ref="S374:U374">_xll.hdm_k2xy_data(P374,Q374,R374,$G$3:$N$75)</f>
        <v>4613236.2589999996</v>
      </c>
      <c r="T374" s="17">
        <v>509203.76299999998</v>
      </c>
      <c r="U374" s="17">
        <v>1.7481965228200202</v>
      </c>
      <c r="AC374">
        <f t="array" ref="AC374:AD374">_xll.map_xy2gps(S373,T373,"utm",$Y$4:$Z$8,$AA$4:$AB$8)</f>
        <v>45.110333405940835</v>
      </c>
      <c r="AD374">
        <v>41.670869743036697</v>
      </c>
    </row>
    <row r="375" spans="16:30" ht="22.5" customHeight="1" x14ac:dyDescent="0.15">
      <c r="P375" s="17">
        <v>9140</v>
      </c>
      <c r="Q375" s="17">
        <v>0</v>
      </c>
      <c r="R375" s="17">
        <v>90</v>
      </c>
      <c r="S375" s="17">
        <f t="array" ref="S375:U375">_xll.hdm_k2xy_data(P375,Q375,R375,$G$3:$N$75)</f>
        <v>4613232.8940000003</v>
      </c>
      <c r="T375" s="17">
        <v>509223.478</v>
      </c>
      <c r="U375" s="17">
        <v>1.7315298561533536</v>
      </c>
      <c r="AC375">
        <f t="array" ref="AC375:AD375">_xll.map_xy2gps(S374,T374,"utm",$Y$4:$Z$8,$AA$4:$AB$8)</f>
        <v>45.110569476502157</v>
      </c>
      <c r="AD375">
        <v>41.670836243665939</v>
      </c>
    </row>
    <row r="376" spans="16:30" ht="22.5" customHeight="1" x14ac:dyDescent="0.15">
      <c r="P376" s="17">
        <v>9160</v>
      </c>
      <c r="Q376" s="17">
        <v>0</v>
      </c>
      <c r="R376" s="17">
        <v>90</v>
      </c>
      <c r="S376" s="17">
        <f t="array" ref="S376:U376">_xll.hdm_k2xy_data(P376,Q376,R376,$G$3:$N$75)</f>
        <v>4613229.858</v>
      </c>
      <c r="T376" s="17">
        <v>509243.24599999998</v>
      </c>
      <c r="U376" s="17">
        <v>1.714863189486687</v>
      </c>
      <c r="AC376">
        <f t="array" ref="AC376:AD376">_xll.map_xy2gps(S375,T375,"utm",$Y$4:$Z$8,$AA$4:$AB$8)</f>
        <v>45.110806260665044</v>
      </c>
      <c r="AD376">
        <v>41.670805706485865</v>
      </c>
    </row>
    <row r="377" spans="16:30" ht="22.5" customHeight="1" x14ac:dyDescent="0.15">
      <c r="P377" s="17">
        <v>9180</v>
      </c>
      <c r="Q377" s="17">
        <v>0</v>
      </c>
      <c r="R377" s="17">
        <v>90</v>
      </c>
      <c r="S377" s="17">
        <f t="array" ref="S377:U377">_xll.hdm_k2xy_data(P377,Q377,R377,$G$3:$N$75)</f>
        <v>4613227.1519999998</v>
      </c>
      <c r="T377" s="17">
        <v>509263.06099999999</v>
      </c>
      <c r="U377" s="17">
        <v>1.6981965228200204</v>
      </c>
      <c r="AC377">
        <f t="array" ref="AC377:AD377">_xll.map_xy2gps(S376,T376,"utm",$Y$4:$Z$8,$AA$4:$AB$8)</f>
        <v>45.111043686383141</v>
      </c>
      <c r="AD377">
        <v>41.670778131561669</v>
      </c>
    </row>
    <row r="378" spans="16:30" ht="22.5" customHeight="1" x14ac:dyDescent="0.15">
      <c r="P378" s="17">
        <v>9200</v>
      </c>
      <c r="Q378" s="17">
        <v>0</v>
      </c>
      <c r="R378" s="17">
        <v>90</v>
      </c>
      <c r="S378" s="17">
        <f t="array" ref="S378:U378">_xll.hdm_k2xy_data(P378,Q378,R378,$G$3:$N$75)</f>
        <v>4613224.7759999996</v>
      </c>
      <c r="T378" s="17">
        <v>509282.92</v>
      </c>
      <c r="U378" s="17">
        <v>1.6815298561533538</v>
      </c>
      <c r="AC378">
        <f t="array" ref="AC378:AD378">_xll.map_xy2gps(S377,T377,"utm",$Y$4:$Z$8,$AA$4:$AB$8)</f>
        <v>45.111281681625925</v>
      </c>
      <c r="AD378">
        <v>41.670753527966347</v>
      </c>
    </row>
    <row r="379" spans="16:30" ht="22.5" customHeight="1" x14ac:dyDescent="0.15">
      <c r="P379" s="17">
        <v>9220</v>
      </c>
      <c r="Q379" s="17">
        <v>0</v>
      </c>
      <c r="R379" s="17">
        <v>90</v>
      </c>
      <c r="S379" s="17">
        <f t="array" ref="S379:U379">_xll.hdm_k2xy_data(P379,Q379,R379,$G$3:$N$75)</f>
        <v>4613222.7319999998</v>
      </c>
      <c r="T379" s="17">
        <v>509302.815</v>
      </c>
      <c r="U379" s="17">
        <v>1.664863189486687</v>
      </c>
      <c r="AC379">
        <f t="array" ref="AC379:AD379">_xll.map_xy2gps(S378,T378,"utm",$Y$4:$Z$8,$AA$4:$AB$8)</f>
        <v>45.111520210386637</v>
      </c>
      <c r="AD379">
        <v>41.670731895731308</v>
      </c>
    </row>
    <row r="380" spans="16:30" ht="22.5" customHeight="1" x14ac:dyDescent="0.15">
      <c r="P380" s="17">
        <v>9240</v>
      </c>
      <c r="Q380" s="17">
        <v>0</v>
      </c>
      <c r="R380" s="17">
        <v>90</v>
      </c>
      <c r="S380" s="17">
        <f t="array" ref="S380:U380">_xll.hdm_k2xy_data(P380,Q380,R380,$G$3:$N$75)</f>
        <v>4613221.0190000003</v>
      </c>
      <c r="T380" s="17">
        <v>509322.74099999998</v>
      </c>
      <c r="U380" s="17">
        <v>1.6481965228200204</v>
      </c>
      <c r="AC380">
        <f t="array" ref="AC380:AD380">_xll.map_xy2gps(S379,T379,"utm",$Y$4:$Z$8,$AA$4:$AB$8)</f>
        <v>45.111759176625057</v>
      </c>
      <c r="AD380">
        <v>41.670713252961015</v>
      </c>
    </row>
    <row r="381" spans="16:30" ht="22.5" customHeight="1" x14ac:dyDescent="0.15">
      <c r="P381" s="17">
        <v>9260</v>
      </c>
      <c r="Q381" s="17">
        <v>0</v>
      </c>
      <c r="R381" s="17">
        <v>90</v>
      </c>
      <c r="S381" s="17">
        <f t="array" ref="S381:U381">_xll.hdm_k2xy_data(P381,Q381,R381,$G$3:$N$75)</f>
        <v>4613219.6330000004</v>
      </c>
      <c r="T381" s="17">
        <v>509342.69300000003</v>
      </c>
      <c r="U381" s="17">
        <v>1.6324599906920203</v>
      </c>
      <c r="AC381">
        <f t="array" ref="AC381:AD381">_xll.map_xy2gps(S380,T380,"utm",$Y$4:$Z$8,$AA$4:$AB$8)</f>
        <v>45.111998520293497</v>
      </c>
      <c r="AD381">
        <v>41.670697590704059</v>
      </c>
    </row>
    <row r="382" spans="16:30" ht="22.5" customHeight="1" x14ac:dyDescent="0.15">
      <c r="P382" s="17">
        <v>9280</v>
      </c>
      <c r="Q382" s="17">
        <v>0</v>
      </c>
      <c r="R382" s="17">
        <v>90</v>
      </c>
      <c r="S382" s="17">
        <f t="array" ref="S382:U382">_xll.hdm_k2xy_data(P382,Q382,R382,$G$3:$N$75)</f>
        <v>4613218.5369999995</v>
      </c>
      <c r="T382" s="17">
        <v>509362.663</v>
      </c>
      <c r="U382" s="17">
        <v>1.6191995416658975</v>
      </c>
      <c r="AC382">
        <f t="array" ref="AC382:AD382">_xll.map_xy2gps(S381,T381,"utm",$Y$4:$Z$8,$AA$4:$AB$8)</f>
        <v>45.112238181297421</v>
      </c>
      <c r="AD382">
        <v>41.670684872988083</v>
      </c>
    </row>
    <row r="383" spans="16:30" ht="22.5" customHeight="1" x14ac:dyDescent="0.15">
      <c r="P383" s="17">
        <v>9300</v>
      </c>
      <c r="Q383" s="17">
        <v>0</v>
      </c>
      <c r="R383" s="17">
        <v>90</v>
      </c>
      <c r="S383" s="17">
        <f t="array" ref="S383:U383">_xll.hdm_k2xy_data(P383,Q383,R383,$G$3:$N$75)</f>
        <v>4613217.6809999999</v>
      </c>
      <c r="T383" s="17">
        <v>509382.64399999997</v>
      </c>
      <c r="U383" s="17">
        <v>1.6084390688897148</v>
      </c>
      <c r="AC383">
        <f t="array" ref="AC383:AD383">_xll.map_xy2gps(S382,T382,"utm",$Y$4:$Z$8,$AA$4:$AB$8)</f>
        <v>45.112478062985637</v>
      </c>
      <c r="AD383">
        <v>41.670674766639813</v>
      </c>
    </row>
    <row r="384" spans="16:30" ht="22.5" customHeight="1" x14ac:dyDescent="0.15">
      <c r="P384" s="17">
        <v>9320</v>
      </c>
      <c r="Q384" s="17">
        <v>0</v>
      </c>
      <c r="R384" s="17">
        <v>90</v>
      </c>
      <c r="S384" s="17">
        <f t="array" ref="S384:U384">_xll.hdm_k2xy_data(P384,Q384,R384,$G$3:$N$75)</f>
        <v>4613217.0149999997</v>
      </c>
      <c r="T384" s="17">
        <v>509402.63299999997</v>
      </c>
      <c r="U384" s="17">
        <v>1.6001785723634725</v>
      </c>
      <c r="AC384">
        <f t="array" ref="AC384:AD384">_xll.map_xy2gps(S383,T383,"utm",$Y$4:$Z$8,$AA$4:$AB$8)</f>
        <v>45.112718080510867</v>
      </c>
      <c r="AD384">
        <v>41.670666821381921</v>
      </c>
    </row>
    <row r="385" spans="16:30" ht="22.5" customHeight="1" x14ac:dyDescent="0.15">
      <c r="P385" s="17">
        <v>9340</v>
      </c>
      <c r="Q385" s="17">
        <v>0</v>
      </c>
      <c r="R385" s="17">
        <v>90</v>
      </c>
      <c r="S385" s="17">
        <f t="array" ref="S385:U385">_xll.hdm_k2xy_data(P385,Q385,R385,$G$3:$N$75)</f>
        <v>4613216.4890000001</v>
      </c>
      <c r="T385" s="17">
        <v>509422.62599999999</v>
      </c>
      <c r="U385" s="17">
        <v>1.5944180520871705</v>
      </c>
      <c r="AC385">
        <f t="array" ref="AC385:AD385">_xll.map_xy2gps(S384,T384,"utm",$Y$4:$Z$8,$AA$4:$AB$8)</f>
        <v>45.112958197071045</v>
      </c>
      <c r="AD385">
        <v>41.670660586890463</v>
      </c>
    </row>
    <row r="386" spans="16:30" ht="22.5" customHeight="1" x14ac:dyDescent="0.15">
      <c r="P386" s="17">
        <v>9360</v>
      </c>
      <c r="Q386" s="17">
        <v>0</v>
      </c>
      <c r="R386" s="17">
        <v>90</v>
      </c>
      <c r="S386" s="17">
        <f t="array" ref="S386:U386">_xll.hdm_k2xy_data(P386,Q386,R386,$G$3:$N$75)</f>
        <v>4613216.0539999995</v>
      </c>
      <c r="T386" s="17">
        <v>509442.62099999998</v>
      </c>
      <c r="U386" s="17">
        <v>1.5911575080608087</v>
      </c>
      <c r="AC386">
        <f t="array" ref="AC386:AD386">_xll.map_xy2gps(S385,T385,"utm",$Y$4:$Z$8,$AA$4:$AB$8)</f>
        <v>45.113198363844489</v>
      </c>
      <c r="AD386">
        <v>41.670655612853729</v>
      </c>
    </row>
    <row r="387" spans="16:30" ht="22.5" customHeight="1" x14ac:dyDescent="0.15">
      <c r="P387" s="17">
        <v>9380</v>
      </c>
      <c r="Q387" s="17">
        <v>0</v>
      </c>
      <c r="R387" s="17">
        <v>90</v>
      </c>
      <c r="S387" s="17">
        <f t="array" ref="S387:U387">_xll.hdm_k2xy_data(P387,Q387,R387,$G$3:$N$75)</f>
        <v>4613215.6579999998</v>
      </c>
      <c r="T387" s="17">
        <v>509462.61700000003</v>
      </c>
      <c r="U387" s="17">
        <v>1.5903503169950874</v>
      </c>
      <c r="AC387">
        <f t="array" ref="AC387:AD387">_xll.map_xy2gps(S386,T386,"utm",$Y$4:$Z$8,$AA$4:$AB$8)</f>
        <v>45.113438556044585</v>
      </c>
      <c r="AD387">
        <v>41.670651457943826</v>
      </c>
    </row>
    <row r="388" spans="16:30" ht="22.5" customHeight="1" x14ac:dyDescent="0.15">
      <c r="P388" s="17">
        <v>9400</v>
      </c>
      <c r="Q388" s="17">
        <v>0</v>
      </c>
      <c r="R388" s="17">
        <v>90</v>
      </c>
      <c r="S388" s="17">
        <f t="array" ref="S388:U388">_xll.hdm_k2xy_data(P388,Q388,R388,$G$3:$N$75)</f>
        <v>4613215.267</v>
      </c>
      <c r="T388" s="17">
        <v>509482.61300000001</v>
      </c>
      <c r="U388" s="17">
        <v>1.5903503169950874</v>
      </c>
      <c r="AC388">
        <f t="array" ref="AC388:AD388">_xll.map_xy2gps(S387,T387,"utm",$Y$4:$Z$8,$AA$4:$AB$8)</f>
        <v>45.113678760843563</v>
      </c>
      <c r="AD388">
        <v>41.670647653799712</v>
      </c>
    </row>
    <row r="389" spans="16:30" ht="22.5" customHeight="1" x14ac:dyDescent="0.15">
      <c r="P389" s="17">
        <v>9420</v>
      </c>
      <c r="Q389" s="17">
        <v>0</v>
      </c>
      <c r="R389" s="17">
        <v>90</v>
      </c>
      <c r="S389" s="17">
        <f t="array" ref="S389:U389">_xll.hdm_k2xy_data(P389,Q389,R389,$G$3:$N$75)</f>
        <v>4613214.8760000002</v>
      </c>
      <c r="T389" s="17">
        <v>509502.61</v>
      </c>
      <c r="U389" s="17">
        <v>1.5903503169950874</v>
      </c>
      <c r="AC389">
        <f t="array" ref="AC389:AD389">_xll.map_xy2gps(S388,T388,"utm",$Y$4:$Z$8,$AA$4:$AB$8)</f>
        <v>45.113918965692541</v>
      </c>
      <c r="AD389">
        <v>41.670643894189482</v>
      </c>
    </row>
    <row r="390" spans="16:30" ht="22.5" customHeight="1" x14ac:dyDescent="0.15">
      <c r="P390" s="17">
        <v>9440</v>
      </c>
      <c r="Q390" s="17">
        <v>0</v>
      </c>
      <c r="R390" s="17">
        <v>90</v>
      </c>
      <c r="S390" s="17">
        <f t="array" ref="S390:U390">_xll.hdm_k2xy_data(P390,Q390,R390,$G$3:$N$75)</f>
        <v>4613214.4850000003</v>
      </c>
      <c r="T390" s="17">
        <v>509522.60600000003</v>
      </c>
      <c r="U390" s="17">
        <v>1.5903503169950874</v>
      </c>
      <c r="AC390">
        <f t="array" ref="AC390:AD390">_xll.map_xy2gps(S389,T389,"utm",$Y$4:$Z$8,$AA$4:$AB$8)</f>
        <v>45.114159182525384</v>
      </c>
      <c r="AD390">
        <v>41.67064013406533</v>
      </c>
    </row>
    <row r="391" spans="16:30" ht="22.5" customHeight="1" x14ac:dyDescent="0.15">
      <c r="P391" s="17">
        <v>9460</v>
      </c>
      <c r="Q391" s="17">
        <v>0</v>
      </c>
      <c r="R391" s="17">
        <v>90</v>
      </c>
      <c r="S391" s="17">
        <f t="array" ref="S391:U391">_xll.hdm_k2xy_data(P391,Q391,R391,$G$3:$N$75)</f>
        <v>4613214.0939999996</v>
      </c>
      <c r="T391" s="17">
        <v>509542.60200000001</v>
      </c>
      <c r="U391" s="17">
        <v>1.5903503169950874</v>
      </c>
      <c r="AC391">
        <f t="array" ref="AC391:AD391">_xll.map_xy2gps(S390,T390,"utm",$Y$4:$Z$8,$AA$4:$AB$8)</f>
        <v>45.114399387316205</v>
      </c>
      <c r="AD391">
        <v>41.670636373451138</v>
      </c>
    </row>
    <row r="392" spans="16:30" ht="22.5" customHeight="1" x14ac:dyDescent="0.15">
      <c r="P392" s="17">
        <v>9480</v>
      </c>
      <c r="Q392" s="17">
        <v>0</v>
      </c>
      <c r="R392" s="17">
        <v>90</v>
      </c>
      <c r="S392" s="17">
        <f t="array" ref="S392:U392">_xll.hdm_k2xy_data(P392,Q392,R392,$G$3:$N$75)</f>
        <v>4613213.7029999997</v>
      </c>
      <c r="T392" s="17">
        <v>509562.598</v>
      </c>
      <c r="U392" s="17">
        <v>1.5903503169950874</v>
      </c>
      <c r="AC392">
        <f t="array" ref="AC392:AD392">_xll.map_xy2gps(S391,T391,"utm",$Y$4:$Z$8,$AA$4:$AB$8)</f>
        <v>45.114639592077936</v>
      </c>
      <c r="AD392">
        <v>41.67063261233497</v>
      </c>
    </row>
    <row r="393" spans="16:30" ht="22.5" customHeight="1" x14ac:dyDescent="0.15">
      <c r="P393" s="17">
        <v>9500</v>
      </c>
      <c r="Q393" s="17">
        <v>0</v>
      </c>
      <c r="R393" s="17">
        <v>90</v>
      </c>
      <c r="S393" s="17">
        <f t="array" ref="S393:U393">_xll.hdm_k2xy_data(P393,Q393,R393,$G$3:$N$75)</f>
        <v>4613213.3119999999</v>
      </c>
      <c r="T393" s="17">
        <v>509582.59399999998</v>
      </c>
      <c r="U393" s="17">
        <v>1.5903503169950874</v>
      </c>
      <c r="AC393">
        <f t="array" ref="AC393:AD393">_xll.map_xy2gps(S392,T392,"utm",$Y$4:$Z$8,$AA$4:$AB$8)</f>
        <v>45.11487979681057</v>
      </c>
      <c r="AD393">
        <v>41.670628850716831</v>
      </c>
    </row>
  </sheetData>
  <mergeCells count="6">
    <mergeCell ref="Y2:AB2"/>
    <mergeCell ref="A1:E1"/>
    <mergeCell ref="G1:N1"/>
    <mergeCell ref="S1:U1"/>
    <mergeCell ref="V1:X1"/>
    <mergeCell ref="Y1:AH1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115"/>
  <sheetViews>
    <sheetView workbookViewId="0">
      <pane ySplit="1" topLeftCell="A2" activePane="bottomLeft" state="frozen"/>
      <selection pane="bottomLeft" activeCell="C16" sqref="C16"/>
    </sheetView>
  </sheetViews>
  <sheetFormatPr defaultRowHeight="20.25" customHeight="1" x14ac:dyDescent="0.15"/>
  <cols>
    <col min="1" max="2" width="11" bestFit="1" customWidth="1"/>
    <col min="3" max="3" width="20.5" bestFit="1" customWidth="1"/>
    <col min="6" max="6" width="9.5" bestFit="1" customWidth="1"/>
  </cols>
  <sheetData>
    <row r="1" spans="1:6" ht="20.25" customHeight="1" x14ac:dyDescent="0.15">
      <c r="A1" t="s">
        <v>45</v>
      </c>
      <c r="B1" t="s">
        <v>46</v>
      </c>
      <c r="C1" t="s">
        <v>47</v>
      </c>
      <c r="E1" t="s">
        <v>48</v>
      </c>
    </row>
    <row r="2" spans="1:6" ht="20.25" customHeight="1" x14ac:dyDescent="0.15">
      <c r="A2">
        <v>57415.25</v>
      </c>
      <c r="B2">
        <v>1269.365</v>
      </c>
      <c r="C2">
        <v>0</v>
      </c>
      <c r="E2" t="s">
        <v>49</v>
      </c>
    </row>
    <row r="3" spans="1:6" ht="20.25" customHeight="1" x14ac:dyDescent="0.15">
      <c r="A3">
        <v>57519.9</v>
      </c>
      <c r="B3">
        <v>1269.2</v>
      </c>
      <c r="C3">
        <v>30842.864000000001</v>
      </c>
      <c r="E3">
        <v>57420</v>
      </c>
      <c r="F3">
        <f>_xll.hdm_center_h_data(E3,$A$2:$C$115)</f>
        <v>1269.3579999999999</v>
      </c>
    </row>
    <row r="4" spans="1:6" ht="20.25" customHeight="1" x14ac:dyDescent="0.15">
      <c r="A4">
        <v>58059.5</v>
      </c>
      <c r="B4">
        <v>1265.55</v>
      </c>
      <c r="C4">
        <v>18254.54</v>
      </c>
      <c r="E4">
        <v>57440</v>
      </c>
      <c r="F4">
        <f>_xll.hdm_center_h_data(E4,$A$2:$C$115)</f>
        <v>1269.326</v>
      </c>
    </row>
    <row r="5" spans="1:6" ht="20.25" customHeight="1" x14ac:dyDescent="0.15">
      <c r="A5">
        <v>58650</v>
      </c>
      <c r="B5">
        <v>1256.3800000000001</v>
      </c>
      <c r="C5">
        <v>17744.827000000001</v>
      </c>
      <c r="E5">
        <v>57460</v>
      </c>
      <c r="F5">
        <f>_xll.hdm_center_h_data(E5,$A$2:$C$115)</f>
        <v>1269.288</v>
      </c>
    </row>
    <row r="6" spans="1:6" ht="20.25" customHeight="1" x14ac:dyDescent="0.15">
      <c r="A6">
        <v>58730</v>
      </c>
      <c r="B6">
        <v>1255.8589999999999</v>
      </c>
      <c r="C6">
        <v>0</v>
      </c>
      <c r="E6">
        <v>57480</v>
      </c>
      <c r="F6">
        <f>_xll.hdm_center_h_data(E6,$A$2:$C$115)</f>
        <v>1269.2370000000001</v>
      </c>
    </row>
    <row r="7" spans="1:6" ht="20.25" customHeight="1" x14ac:dyDescent="0.15">
      <c r="A7">
        <v>59250</v>
      </c>
      <c r="B7">
        <v>1252.7719999999999</v>
      </c>
      <c r="C7">
        <v>15460.349</v>
      </c>
      <c r="E7">
        <v>57500</v>
      </c>
      <c r="F7">
        <f>_xll.hdm_center_h_data(E7,$A$2:$C$115)</f>
        <v>1269.173</v>
      </c>
    </row>
    <row r="8" spans="1:6" ht="20.25" customHeight="1" x14ac:dyDescent="0.15">
      <c r="A8">
        <v>59950</v>
      </c>
      <c r="B8">
        <v>1239.5609999999999</v>
      </c>
      <c r="C8">
        <v>26433.796999999999</v>
      </c>
      <c r="E8">
        <v>57520</v>
      </c>
      <c r="F8">
        <f>_xll.hdm_center_h_data(E8,$A$2:$C$115)</f>
        <v>1269.096</v>
      </c>
    </row>
    <row r="9" spans="1:6" ht="20.25" customHeight="1" x14ac:dyDescent="0.15">
      <c r="A9">
        <v>60550</v>
      </c>
      <c r="B9">
        <v>1231.8689999999999</v>
      </c>
      <c r="C9">
        <v>13751.196</v>
      </c>
      <c r="E9">
        <v>57540</v>
      </c>
      <c r="F9">
        <f>_xll.hdm_center_h_data(E9,$A$2:$C$115)</f>
        <v>1269.0060000000001</v>
      </c>
    </row>
    <row r="10" spans="1:6" ht="20.25" customHeight="1" x14ac:dyDescent="0.15">
      <c r="A10">
        <v>61098.06</v>
      </c>
      <c r="B10">
        <v>1218.4659999999999</v>
      </c>
      <c r="C10">
        <v>20372.175999999999</v>
      </c>
      <c r="E10">
        <v>57560</v>
      </c>
      <c r="F10">
        <f>_xll.hdm_center_h_data(E10,$A$2:$C$115)</f>
        <v>1268.903</v>
      </c>
    </row>
    <row r="11" spans="1:6" ht="20.25" customHeight="1" x14ac:dyDescent="0.15">
      <c r="A11">
        <v>61405</v>
      </c>
      <c r="B11">
        <v>1213.973</v>
      </c>
      <c r="C11">
        <v>12541.471</v>
      </c>
      <c r="E11">
        <v>57580</v>
      </c>
      <c r="F11">
        <f>_xll.hdm_center_h_data(E11,$A$2:$C$115)</f>
        <v>1268.787</v>
      </c>
    </row>
    <row r="12" spans="1:6" ht="20.25" customHeight="1" x14ac:dyDescent="0.15">
      <c r="A12">
        <v>61827.79</v>
      </c>
      <c r="B12">
        <v>1213.1780000000001</v>
      </c>
      <c r="C12">
        <v>72048.195999999996</v>
      </c>
      <c r="E12">
        <v>57600</v>
      </c>
      <c r="F12">
        <f>_xll.hdm_center_h_data(E12,$A$2:$C$115)</f>
        <v>1268.6579999999999</v>
      </c>
    </row>
    <row r="13" spans="1:6" ht="20.25" customHeight="1" x14ac:dyDescent="0.15">
      <c r="A13">
        <v>62500</v>
      </c>
      <c r="B13">
        <v>1213.78</v>
      </c>
      <c r="C13">
        <v>31966.874</v>
      </c>
      <c r="E13">
        <v>57620</v>
      </c>
      <c r="F13">
        <f>_xll.hdm_center_h_data(E13,$A$2:$C$115)</f>
        <v>1268.5229999999999</v>
      </c>
    </row>
    <row r="14" spans="1:6" ht="20.25" customHeight="1" x14ac:dyDescent="0.15">
      <c r="A14">
        <v>62942.79</v>
      </c>
      <c r="B14">
        <v>1218.3320000000001</v>
      </c>
      <c r="C14">
        <v>40452.417999999998</v>
      </c>
    </row>
    <row r="15" spans="1:6" ht="20.25" customHeight="1" x14ac:dyDescent="0.15">
      <c r="A15">
        <v>64327.02</v>
      </c>
      <c r="B15">
        <v>1239.4059999999999</v>
      </c>
      <c r="C15">
        <v>18588.993999999999</v>
      </c>
    </row>
    <row r="16" spans="1:6" ht="20.25" customHeight="1" x14ac:dyDescent="0.15">
      <c r="A16">
        <v>64951.16</v>
      </c>
      <c r="B16">
        <v>1243.5360000000001</v>
      </c>
      <c r="C16">
        <v>11639.737999999999</v>
      </c>
    </row>
    <row r="17" spans="1:3" ht="20.25" customHeight="1" x14ac:dyDescent="0.15">
      <c r="A17">
        <v>65273.79</v>
      </c>
      <c r="B17">
        <v>1241.2360000000001</v>
      </c>
      <c r="C17">
        <v>40775.091</v>
      </c>
    </row>
    <row r="18" spans="1:3" ht="20.25" customHeight="1" x14ac:dyDescent="0.15">
      <c r="A18">
        <v>65799.899999999994</v>
      </c>
      <c r="B18">
        <v>1235.55</v>
      </c>
      <c r="C18">
        <v>15058.596</v>
      </c>
    </row>
    <row r="19" spans="1:3" ht="20.25" customHeight="1" x14ac:dyDescent="0.15">
      <c r="A19">
        <v>66049.899999999994</v>
      </c>
      <c r="B19">
        <v>1241.1489999999999</v>
      </c>
      <c r="C19">
        <v>0</v>
      </c>
    </row>
    <row r="20" spans="1:3" ht="20.25" customHeight="1" x14ac:dyDescent="0.15">
      <c r="A20">
        <v>66550</v>
      </c>
      <c r="B20">
        <v>1256.58</v>
      </c>
      <c r="C20">
        <v>25597.118999999999</v>
      </c>
    </row>
    <row r="21" spans="1:3" ht="20.25" customHeight="1" x14ac:dyDescent="0.15">
      <c r="A21">
        <v>67848.25</v>
      </c>
      <c r="B21">
        <v>1281.423</v>
      </c>
      <c r="C21">
        <v>30874.671999999999</v>
      </c>
    </row>
    <row r="22" spans="1:3" ht="20.25" customHeight="1" x14ac:dyDescent="0.15">
      <c r="A22">
        <v>68477.100000000006</v>
      </c>
      <c r="B22">
        <v>1284.2909999999999</v>
      </c>
      <c r="C22">
        <v>24409.852999999999</v>
      </c>
    </row>
    <row r="23" spans="1:3" ht="20.25" customHeight="1" x14ac:dyDescent="0.15">
      <c r="A23">
        <v>68904.289999999994</v>
      </c>
      <c r="B23">
        <v>1279.239</v>
      </c>
      <c r="C23">
        <v>11666.28</v>
      </c>
    </row>
    <row r="24" spans="1:3" ht="20.25" customHeight="1" x14ac:dyDescent="0.15">
      <c r="A24">
        <v>69350.62</v>
      </c>
      <c r="B24">
        <v>1281.6130000000001</v>
      </c>
      <c r="C24">
        <v>7210.201</v>
      </c>
    </row>
    <row r="25" spans="1:3" ht="20.25" customHeight="1" x14ac:dyDescent="0.15">
      <c r="A25">
        <v>69866.42</v>
      </c>
      <c r="B25">
        <v>1270.049</v>
      </c>
      <c r="C25">
        <v>97825.78</v>
      </c>
    </row>
    <row r="26" spans="1:3" ht="20.25" customHeight="1" x14ac:dyDescent="0.15">
      <c r="A26">
        <v>70374.77</v>
      </c>
      <c r="B26">
        <v>1259.691</v>
      </c>
      <c r="C26">
        <v>129320.86</v>
      </c>
    </row>
    <row r="27" spans="1:3" ht="20.25" customHeight="1" x14ac:dyDescent="0.15">
      <c r="A27">
        <v>71055.44</v>
      </c>
      <c r="B27">
        <v>1244.5060000000001</v>
      </c>
      <c r="C27">
        <v>140642.08900000001</v>
      </c>
    </row>
    <row r="28" spans="1:3" ht="20.25" customHeight="1" x14ac:dyDescent="0.15">
      <c r="A28">
        <v>71528.960000000006</v>
      </c>
      <c r="B28">
        <v>1234.7840000000001</v>
      </c>
      <c r="C28">
        <v>32958.078000000001</v>
      </c>
    </row>
    <row r="29" spans="1:3" ht="20.25" customHeight="1" x14ac:dyDescent="0.15">
      <c r="A29">
        <v>72083.960000000006</v>
      </c>
      <c r="B29">
        <v>1227.5989999999999</v>
      </c>
      <c r="C29">
        <v>48056.402999999998</v>
      </c>
    </row>
    <row r="30" spans="1:3" ht="20.25" customHeight="1" x14ac:dyDescent="0.15">
      <c r="A30">
        <v>72486.73</v>
      </c>
      <c r="B30">
        <v>1224.0609999999999</v>
      </c>
      <c r="C30">
        <v>25583.684000000001</v>
      </c>
    </row>
    <row r="31" spans="1:3" ht="20.25" customHeight="1" x14ac:dyDescent="0.15">
      <c r="A31">
        <v>72772.479999999996</v>
      </c>
      <c r="B31">
        <v>1223.338</v>
      </c>
      <c r="C31">
        <v>70381.743000000002</v>
      </c>
    </row>
    <row r="32" spans="1:3" ht="20.25" customHeight="1" x14ac:dyDescent="0.15">
      <c r="A32">
        <v>73182.179999999993</v>
      </c>
      <c r="B32">
        <v>1221.3699999999999</v>
      </c>
      <c r="C32">
        <v>82577545.879999995</v>
      </c>
    </row>
    <row r="33" spans="1:3" ht="20.25" customHeight="1" x14ac:dyDescent="0.15">
      <c r="A33">
        <v>73921.179999999993</v>
      </c>
      <c r="B33">
        <v>1217.8219999999999</v>
      </c>
      <c r="C33">
        <v>66629.956999999995</v>
      </c>
    </row>
    <row r="34" spans="1:3" ht="20.25" customHeight="1" x14ac:dyDescent="0.15">
      <c r="A34">
        <v>74950.12</v>
      </c>
      <c r="B34">
        <v>1219.059</v>
      </c>
      <c r="C34">
        <v>32566.609</v>
      </c>
    </row>
    <row r="35" spans="1:3" ht="20.25" customHeight="1" x14ac:dyDescent="0.15">
      <c r="A35">
        <v>75807.67</v>
      </c>
      <c r="B35">
        <v>1226.673</v>
      </c>
      <c r="C35">
        <v>65293.127999999997</v>
      </c>
    </row>
    <row r="36" spans="1:3" ht="20.25" customHeight="1" x14ac:dyDescent="0.15">
      <c r="A36">
        <v>76495.92</v>
      </c>
      <c r="B36">
        <v>1230.2539999999999</v>
      </c>
      <c r="C36">
        <v>76742.366999999998</v>
      </c>
    </row>
    <row r="37" spans="1:3" ht="20.25" customHeight="1" x14ac:dyDescent="0.15">
      <c r="A37">
        <v>76901.960000000006</v>
      </c>
      <c r="B37">
        <v>1230.991</v>
      </c>
      <c r="C37">
        <v>33341.724999999999</v>
      </c>
    </row>
    <row r="38" spans="1:3" ht="20.25" customHeight="1" x14ac:dyDescent="0.15">
      <c r="A38">
        <v>77421.929999999993</v>
      </c>
      <c r="B38">
        <v>1228.0360000000001</v>
      </c>
      <c r="C38">
        <v>65351.976999999999</v>
      </c>
    </row>
    <row r="39" spans="1:3" ht="20.25" customHeight="1" x14ac:dyDescent="0.15">
      <c r="A39">
        <v>78032.460000000006</v>
      </c>
      <c r="B39">
        <v>1227.3689999999999</v>
      </c>
      <c r="C39">
        <v>35518.540999999997</v>
      </c>
    </row>
    <row r="40" spans="1:3" ht="20.25" customHeight="1" x14ac:dyDescent="0.15">
      <c r="A40">
        <v>78615.59</v>
      </c>
      <c r="B40">
        <v>1222.135</v>
      </c>
      <c r="C40">
        <v>38732.561000000002</v>
      </c>
    </row>
    <row r="41" spans="1:3" ht="20.25" customHeight="1" x14ac:dyDescent="0.15">
      <c r="A41">
        <v>79009.600000000006</v>
      </c>
      <c r="B41">
        <v>1220.633</v>
      </c>
      <c r="C41">
        <v>103825.673</v>
      </c>
    </row>
    <row r="42" spans="1:3" ht="20.25" customHeight="1" x14ac:dyDescent="0.15">
      <c r="A42">
        <v>79469.05</v>
      </c>
      <c r="B42">
        <v>1218.085</v>
      </c>
      <c r="C42">
        <v>44740.175999999999</v>
      </c>
    </row>
    <row r="43" spans="1:3" ht="20.25" customHeight="1" x14ac:dyDescent="0.15">
      <c r="A43">
        <v>79795.48</v>
      </c>
      <c r="B43">
        <v>1217.588</v>
      </c>
      <c r="C43">
        <v>26459.5</v>
      </c>
    </row>
    <row r="44" spans="1:3" ht="20.25" customHeight="1" x14ac:dyDescent="0.15">
      <c r="A44">
        <v>80190.91</v>
      </c>
      <c r="B44">
        <v>1213.9970000000001</v>
      </c>
      <c r="C44">
        <v>54924.527999999998</v>
      </c>
    </row>
    <row r="45" spans="1:3" ht="20.25" customHeight="1" x14ac:dyDescent="0.15">
      <c r="A45">
        <v>80659.210000000006</v>
      </c>
      <c r="B45">
        <v>1208.039</v>
      </c>
      <c r="C45">
        <v>17492.164000000001</v>
      </c>
    </row>
    <row r="46" spans="1:3" ht="20.25" customHeight="1" x14ac:dyDescent="0.15">
      <c r="A46">
        <v>80972.649999999994</v>
      </c>
      <c r="B46">
        <v>1207.635</v>
      </c>
      <c r="C46">
        <v>58760.258000000002</v>
      </c>
    </row>
    <row r="47" spans="1:3" ht="20.25" customHeight="1" x14ac:dyDescent="0.15">
      <c r="A47">
        <v>81341.490000000005</v>
      </c>
      <c r="B47">
        <v>1208.415</v>
      </c>
      <c r="C47">
        <v>89279.49</v>
      </c>
    </row>
    <row r="48" spans="1:3" ht="20.25" customHeight="1" x14ac:dyDescent="0.15">
      <c r="A48">
        <v>81939.490000000005</v>
      </c>
      <c r="B48">
        <v>1208.3399999999999</v>
      </c>
      <c r="C48">
        <v>22133.679</v>
      </c>
    </row>
    <row r="49" spans="1:3" ht="20.25" customHeight="1" x14ac:dyDescent="0.15">
      <c r="A49">
        <v>82308.33</v>
      </c>
      <c r="B49">
        <v>1213.2929999999999</v>
      </c>
      <c r="C49">
        <v>46337.707000000002</v>
      </c>
    </row>
    <row r="50" spans="1:3" ht="20.25" customHeight="1" x14ac:dyDescent="0.15">
      <c r="A50">
        <v>82690.66</v>
      </c>
      <c r="B50">
        <v>1217.107</v>
      </c>
      <c r="C50">
        <v>63930.218999999997</v>
      </c>
    </row>
    <row r="51" spans="1:3" ht="20.25" customHeight="1" x14ac:dyDescent="0.15">
      <c r="A51">
        <v>83104.84</v>
      </c>
      <c r="B51">
        <v>1219.943</v>
      </c>
      <c r="C51">
        <v>42478.048999999999</v>
      </c>
    </row>
    <row r="52" spans="1:3" ht="20.25" customHeight="1" x14ac:dyDescent="0.15">
      <c r="A52">
        <v>83409.08</v>
      </c>
      <c r="B52">
        <v>1220.7370000000001</v>
      </c>
      <c r="C52">
        <v>59502.425999999999</v>
      </c>
    </row>
    <row r="53" spans="1:3" ht="20.25" customHeight="1" x14ac:dyDescent="0.15">
      <c r="A53">
        <v>83911.31</v>
      </c>
      <c r="B53">
        <v>1223.567</v>
      </c>
      <c r="C53">
        <v>231843.65400000001</v>
      </c>
    </row>
    <row r="54" spans="1:3" ht="20.25" customHeight="1" x14ac:dyDescent="0.15">
      <c r="A54">
        <v>85053.9</v>
      </c>
      <c r="B54">
        <v>1230.991</v>
      </c>
      <c r="C54">
        <v>17814.296999999999</v>
      </c>
    </row>
    <row r="55" spans="1:3" ht="20.25" customHeight="1" x14ac:dyDescent="0.15">
      <c r="A55">
        <v>85395.43</v>
      </c>
      <c r="B55">
        <v>1236.6610000000001</v>
      </c>
      <c r="C55">
        <v>14051.599</v>
      </c>
    </row>
    <row r="56" spans="1:3" ht="20.25" customHeight="1" x14ac:dyDescent="0.15">
      <c r="A56">
        <v>86231.7</v>
      </c>
      <c r="B56">
        <v>1235.6659999999999</v>
      </c>
      <c r="C56">
        <v>258721.913</v>
      </c>
    </row>
    <row r="57" spans="1:3" ht="20.25" customHeight="1" x14ac:dyDescent="0.15">
      <c r="A57">
        <v>86884.22</v>
      </c>
      <c r="B57">
        <v>1234.133</v>
      </c>
      <c r="C57">
        <v>74726.907999999996</v>
      </c>
    </row>
    <row r="58" spans="1:3" ht="20.25" customHeight="1" x14ac:dyDescent="0.15">
      <c r="A58">
        <v>87214.12</v>
      </c>
      <c r="B58">
        <v>1232.4749999999999</v>
      </c>
      <c r="C58">
        <v>49913.05</v>
      </c>
    </row>
    <row r="59" spans="1:3" ht="20.25" customHeight="1" x14ac:dyDescent="0.15">
      <c r="A59">
        <v>87631.17</v>
      </c>
      <c r="B59">
        <v>1231.883</v>
      </c>
      <c r="C59">
        <v>58102.432000000001</v>
      </c>
    </row>
    <row r="60" spans="1:3" ht="20.25" customHeight="1" x14ac:dyDescent="0.15">
      <c r="A60">
        <v>88195.11</v>
      </c>
      <c r="B60">
        <v>1228.6559999999999</v>
      </c>
      <c r="C60">
        <v>154108.508</v>
      </c>
    </row>
    <row r="61" spans="1:3" ht="20.25" customHeight="1" x14ac:dyDescent="0.15">
      <c r="A61">
        <v>88684.21</v>
      </c>
      <c r="B61">
        <v>1226.492</v>
      </c>
      <c r="C61">
        <v>169286.421</v>
      </c>
    </row>
    <row r="62" spans="1:3" ht="20.25" customHeight="1" x14ac:dyDescent="0.15">
      <c r="A62">
        <v>89135.7</v>
      </c>
      <c r="B62">
        <v>1223.961</v>
      </c>
      <c r="C62">
        <v>30216.244999999999</v>
      </c>
    </row>
    <row r="63" spans="1:3" ht="20.25" customHeight="1" x14ac:dyDescent="0.15">
      <c r="A63">
        <v>89612.87</v>
      </c>
      <c r="B63">
        <v>1225.2339999999999</v>
      </c>
      <c r="C63">
        <v>15564.222</v>
      </c>
    </row>
    <row r="64" spans="1:3" ht="20.25" customHeight="1" x14ac:dyDescent="0.15">
      <c r="A64">
        <v>90219.38</v>
      </c>
      <c r="B64">
        <v>1217.1099999999999</v>
      </c>
      <c r="C64">
        <v>57945.398999999998</v>
      </c>
    </row>
    <row r="65" spans="1:3" ht="20.25" customHeight="1" x14ac:dyDescent="0.15">
      <c r="A65">
        <v>90655.56</v>
      </c>
      <c r="B65">
        <v>1212.7729999999999</v>
      </c>
      <c r="C65">
        <v>30268.241999999998</v>
      </c>
    </row>
    <row r="66" spans="1:3" ht="20.25" customHeight="1" x14ac:dyDescent="0.15">
      <c r="A66">
        <v>91150.23</v>
      </c>
      <c r="B66">
        <v>1211.123</v>
      </c>
      <c r="C66">
        <v>220907.024</v>
      </c>
    </row>
    <row r="67" spans="1:3" ht="20.25" customHeight="1" x14ac:dyDescent="0.15">
      <c r="A67">
        <v>91670.46</v>
      </c>
      <c r="B67">
        <v>1208.799</v>
      </c>
      <c r="C67">
        <v>217993.64199999999</v>
      </c>
    </row>
    <row r="68" spans="1:3" ht="20.25" customHeight="1" x14ac:dyDescent="0.15">
      <c r="A68">
        <v>92512.48</v>
      </c>
      <c r="B68">
        <v>1205.81</v>
      </c>
      <c r="C68">
        <v>146561.83499999999</v>
      </c>
    </row>
    <row r="69" spans="1:3" ht="20.25" customHeight="1" x14ac:dyDescent="0.15">
      <c r="A69">
        <v>93052.479999999996</v>
      </c>
      <c r="B69">
        <v>1204.6300000000001</v>
      </c>
      <c r="C69">
        <v>29690.138999999999</v>
      </c>
    </row>
    <row r="70" spans="1:3" ht="20.25" customHeight="1" x14ac:dyDescent="0.15">
      <c r="A70">
        <v>93332.479999999996</v>
      </c>
      <c r="B70">
        <v>1202.1320000000001</v>
      </c>
      <c r="C70">
        <v>29528.830999999998</v>
      </c>
    </row>
    <row r="71" spans="1:3" ht="20.25" customHeight="1" x14ac:dyDescent="0.15">
      <c r="A71">
        <v>93952.48</v>
      </c>
      <c r="B71">
        <v>1200.8</v>
      </c>
      <c r="C71">
        <v>82482.854000000007</v>
      </c>
    </row>
    <row r="72" spans="1:3" ht="20.25" customHeight="1" x14ac:dyDescent="0.15">
      <c r="A72">
        <v>94784.73</v>
      </c>
      <c r="B72">
        <v>1201.03</v>
      </c>
      <c r="C72">
        <v>257695.611</v>
      </c>
    </row>
    <row r="73" spans="1:3" ht="20.25" customHeight="1" x14ac:dyDescent="0.15">
      <c r="A73">
        <v>95558.06</v>
      </c>
      <c r="B73">
        <v>1202.144</v>
      </c>
      <c r="C73">
        <v>168423.125</v>
      </c>
    </row>
    <row r="74" spans="1:3" ht="20.25" customHeight="1" x14ac:dyDescent="0.15">
      <c r="A74">
        <v>96074.04</v>
      </c>
      <c r="B74">
        <v>1203.5</v>
      </c>
      <c r="C74">
        <v>1013582.3540000001</v>
      </c>
    </row>
    <row r="75" spans="1:3" ht="20.25" customHeight="1" x14ac:dyDescent="0.15">
      <c r="A75">
        <v>96699.1</v>
      </c>
      <c r="B75">
        <v>1205.2660000000001</v>
      </c>
      <c r="C75">
        <v>898534.63</v>
      </c>
    </row>
    <row r="76" spans="1:3" ht="20.25" customHeight="1" x14ac:dyDescent="0.15">
      <c r="A76">
        <v>97106.23</v>
      </c>
      <c r="B76">
        <v>1206.3030000000001</v>
      </c>
      <c r="C76">
        <v>10320.446</v>
      </c>
    </row>
    <row r="77" spans="1:3" ht="20.25" customHeight="1" x14ac:dyDescent="0.15">
      <c r="A77">
        <v>97717.1</v>
      </c>
      <c r="B77">
        <v>1219.6969999999999</v>
      </c>
      <c r="C77">
        <v>24694.503000000001</v>
      </c>
    </row>
    <row r="78" spans="1:3" ht="20.25" customHeight="1" x14ac:dyDescent="0.15">
      <c r="A78">
        <v>98299.38</v>
      </c>
      <c r="B78">
        <v>1237.18</v>
      </c>
      <c r="C78">
        <v>20545.509999999998</v>
      </c>
    </row>
    <row r="79" spans="1:3" ht="20.25" customHeight="1" x14ac:dyDescent="0.15">
      <c r="A79">
        <v>98701.24</v>
      </c>
      <c r="B79">
        <v>1244.356</v>
      </c>
      <c r="C79">
        <v>13084.806</v>
      </c>
    </row>
    <row r="80" spans="1:3" ht="20.25" customHeight="1" x14ac:dyDescent="0.15">
      <c r="A80">
        <v>99599.79</v>
      </c>
      <c r="B80">
        <v>1239.8</v>
      </c>
      <c r="C80">
        <v>33510.307000000001</v>
      </c>
    </row>
    <row r="81" spans="1:3" ht="20.25" customHeight="1" x14ac:dyDescent="0.15">
      <c r="A81">
        <v>100099.79</v>
      </c>
      <c r="B81">
        <v>1240.9949999999999</v>
      </c>
      <c r="C81">
        <v>37812.453999999998</v>
      </c>
    </row>
    <row r="82" spans="1:3" ht="20.25" customHeight="1" x14ac:dyDescent="0.15">
      <c r="A82">
        <v>100492.61</v>
      </c>
      <c r="B82">
        <v>1244.5309999999999</v>
      </c>
      <c r="C82">
        <v>26413.995999999999</v>
      </c>
    </row>
    <row r="83" spans="1:3" ht="20.25" customHeight="1" x14ac:dyDescent="0.15">
      <c r="A83">
        <v>100900.11</v>
      </c>
      <c r="B83">
        <v>1252.056</v>
      </c>
      <c r="C83">
        <v>11009.157999999999</v>
      </c>
    </row>
    <row r="84" spans="1:3" ht="20.25" customHeight="1" x14ac:dyDescent="0.15">
      <c r="A84">
        <v>101439.7</v>
      </c>
      <c r="B84">
        <v>1249.7670000000001</v>
      </c>
      <c r="C84">
        <v>71699.475999999995</v>
      </c>
    </row>
    <row r="85" spans="1:3" ht="20.25" customHeight="1" x14ac:dyDescent="0.15">
      <c r="A85">
        <v>101922.93</v>
      </c>
      <c r="B85">
        <v>1249.402</v>
      </c>
      <c r="C85">
        <v>40413.534</v>
      </c>
    </row>
    <row r="86" spans="1:3" ht="20.25" customHeight="1" x14ac:dyDescent="0.15">
      <c r="A86">
        <v>102303.69</v>
      </c>
      <c r="B86">
        <v>1246.759</v>
      </c>
      <c r="C86">
        <v>60608.788999999997</v>
      </c>
    </row>
    <row r="87" spans="1:3" ht="20.25" customHeight="1" x14ac:dyDescent="0.15">
      <c r="A87">
        <v>102729.61</v>
      </c>
      <c r="B87">
        <v>1245.2080000000001</v>
      </c>
      <c r="C87">
        <v>9074.0580000000009</v>
      </c>
    </row>
    <row r="88" spans="1:3" ht="20.25" customHeight="1" x14ac:dyDescent="0.15">
      <c r="A88">
        <v>103102.85</v>
      </c>
      <c r="B88">
        <v>1235.1099999999999</v>
      </c>
      <c r="C88">
        <v>8867.7180000000008</v>
      </c>
    </row>
    <row r="89" spans="1:3" ht="20.25" customHeight="1" x14ac:dyDescent="0.15">
      <c r="A89">
        <v>103596.06</v>
      </c>
      <c r="B89">
        <v>1231.528</v>
      </c>
      <c r="C89">
        <v>20392.563999999998</v>
      </c>
    </row>
    <row r="90" spans="1:3" ht="20.25" customHeight="1" x14ac:dyDescent="0.15">
      <c r="A90">
        <v>104236.85</v>
      </c>
      <c r="B90">
        <v>1236.3009999999999</v>
      </c>
      <c r="C90">
        <v>262966.147</v>
      </c>
    </row>
    <row r="91" spans="1:3" ht="20.25" customHeight="1" x14ac:dyDescent="0.15">
      <c r="A91">
        <v>104724.39</v>
      </c>
      <c r="B91">
        <v>1240.396</v>
      </c>
      <c r="C91">
        <v>19166.939999999999</v>
      </c>
    </row>
    <row r="92" spans="1:3" ht="20.25" customHeight="1" x14ac:dyDescent="0.15">
      <c r="A92">
        <v>105411.42</v>
      </c>
      <c r="B92">
        <v>1236.847</v>
      </c>
      <c r="C92">
        <v>10137.987999999999</v>
      </c>
    </row>
    <row r="93" spans="1:3" ht="20.25" customHeight="1" x14ac:dyDescent="0.15">
      <c r="A93">
        <v>105900.04</v>
      </c>
      <c r="B93">
        <v>1217.454</v>
      </c>
      <c r="C93">
        <v>16612.816999999999</v>
      </c>
    </row>
    <row r="94" spans="1:3" ht="20.25" customHeight="1" x14ac:dyDescent="0.15">
      <c r="A94">
        <v>106183.49</v>
      </c>
      <c r="B94">
        <v>1208.934</v>
      </c>
      <c r="C94">
        <v>5214.8090000000002</v>
      </c>
    </row>
    <row r="95" spans="1:3" ht="20.25" customHeight="1" x14ac:dyDescent="0.15">
      <c r="A95">
        <v>106457.94</v>
      </c>
      <c r="B95">
        <v>1207</v>
      </c>
      <c r="C95">
        <v>25430.6</v>
      </c>
    </row>
    <row r="96" spans="1:3" ht="20.25" customHeight="1" x14ac:dyDescent="0.15">
      <c r="A96">
        <v>106999.69</v>
      </c>
      <c r="B96">
        <v>1207.443</v>
      </c>
      <c r="C96">
        <v>238105.21299999999</v>
      </c>
    </row>
    <row r="97" spans="1:3" ht="20.25" customHeight="1" x14ac:dyDescent="0.15">
      <c r="A97">
        <v>107775.31</v>
      </c>
      <c r="B97">
        <v>1207.0999999999999</v>
      </c>
      <c r="C97">
        <v>172321.52600000001</v>
      </c>
    </row>
    <row r="98" spans="1:3" ht="20.25" customHeight="1" x14ac:dyDescent="0.15">
      <c r="A98">
        <v>108434.95</v>
      </c>
      <c r="B98">
        <v>1207.7270000000001</v>
      </c>
      <c r="C98">
        <v>30259.914000000001</v>
      </c>
    </row>
    <row r="99" spans="1:3" ht="20.25" customHeight="1" x14ac:dyDescent="0.15">
      <c r="A99">
        <v>109000.04</v>
      </c>
      <c r="B99">
        <v>1213.4929999999999</v>
      </c>
      <c r="C99">
        <v>126422.21</v>
      </c>
    </row>
    <row r="100" spans="1:3" ht="20.25" customHeight="1" x14ac:dyDescent="0.15">
      <c r="A100">
        <v>109751.06</v>
      </c>
      <c r="B100">
        <v>1219.374</v>
      </c>
      <c r="C100">
        <v>31542.587</v>
      </c>
    </row>
    <row r="101" spans="1:3" ht="20.25" customHeight="1" x14ac:dyDescent="0.15">
      <c r="A101">
        <v>110830.65</v>
      </c>
      <c r="B101">
        <v>1217.56</v>
      </c>
      <c r="C101">
        <v>57958.553999999996</v>
      </c>
    </row>
    <row r="102" spans="1:3" ht="20.25" customHeight="1" x14ac:dyDescent="0.15">
      <c r="A102">
        <v>111499.73</v>
      </c>
      <c r="B102">
        <v>1219.8989999999999</v>
      </c>
      <c r="C102">
        <v>37894.646999999997</v>
      </c>
    </row>
    <row r="103" spans="1:3" ht="20.25" customHeight="1" x14ac:dyDescent="0.15">
      <c r="A103">
        <v>112144.63</v>
      </c>
      <c r="B103">
        <v>1217.048</v>
      </c>
      <c r="C103">
        <v>30476.723000000002</v>
      </c>
    </row>
    <row r="104" spans="1:3" ht="20.25" customHeight="1" x14ac:dyDescent="0.15">
      <c r="A104">
        <v>112799.55</v>
      </c>
      <c r="B104">
        <v>1219.5250000000001</v>
      </c>
      <c r="C104">
        <v>15102.504000000001</v>
      </c>
    </row>
    <row r="105" spans="1:3" ht="20.25" customHeight="1" x14ac:dyDescent="0.15">
      <c r="A105">
        <v>113220.55</v>
      </c>
      <c r="B105">
        <v>1214.4269999999999</v>
      </c>
      <c r="C105">
        <v>29474.852999999999</v>
      </c>
    </row>
    <row r="106" spans="1:3" ht="20.25" customHeight="1" x14ac:dyDescent="0.15">
      <c r="A106">
        <v>113801.53</v>
      </c>
      <c r="B106">
        <v>1202.4639999999999</v>
      </c>
      <c r="C106">
        <v>16494.016</v>
      </c>
    </row>
    <row r="107" spans="1:3" ht="20.25" customHeight="1" x14ac:dyDescent="0.15">
      <c r="A107">
        <v>114348.65</v>
      </c>
      <c r="B107">
        <v>1202.808</v>
      </c>
      <c r="C107">
        <v>148241.82</v>
      </c>
    </row>
    <row r="108" spans="1:3" ht="20.25" customHeight="1" x14ac:dyDescent="0.15">
      <c r="A108">
        <v>114756.21</v>
      </c>
      <c r="B108">
        <v>1202.1020000000001</v>
      </c>
      <c r="C108">
        <v>41755.232000000004</v>
      </c>
    </row>
    <row r="109" spans="1:3" ht="20.25" customHeight="1" x14ac:dyDescent="0.15">
      <c r="A109">
        <v>115173.6</v>
      </c>
      <c r="B109">
        <v>1203.8779999999999</v>
      </c>
      <c r="C109">
        <v>22081.107</v>
      </c>
    </row>
    <row r="110" spans="1:3" ht="20.25" customHeight="1" x14ac:dyDescent="0.15">
      <c r="A110">
        <v>115748.04</v>
      </c>
      <c r="B110">
        <v>1212.826</v>
      </c>
      <c r="C110">
        <v>1707919.929</v>
      </c>
    </row>
    <row r="111" spans="1:3" ht="20.25" customHeight="1" x14ac:dyDescent="0.15">
      <c r="A111">
        <v>116436.75</v>
      </c>
      <c r="B111">
        <v>1223.433</v>
      </c>
      <c r="C111">
        <v>130139.50599999999</v>
      </c>
    </row>
    <row r="112" spans="1:3" ht="20.25" customHeight="1" x14ac:dyDescent="0.15">
      <c r="A112">
        <v>117295.7</v>
      </c>
      <c r="B112">
        <v>1239.3019999999999</v>
      </c>
      <c r="C112">
        <v>8988.26</v>
      </c>
    </row>
    <row r="113" spans="1:3" ht="20.25" customHeight="1" x14ac:dyDescent="0.15">
      <c r="A113">
        <v>118006.97</v>
      </c>
      <c r="B113">
        <v>1224.7460000000001</v>
      </c>
      <c r="C113">
        <v>12917.192999999999</v>
      </c>
    </row>
    <row r="114" spans="1:3" ht="20.25" customHeight="1" x14ac:dyDescent="0.15">
      <c r="A114">
        <v>118410.3</v>
      </c>
      <c r="B114">
        <v>1224.298</v>
      </c>
      <c r="C114">
        <v>48363.103000000003</v>
      </c>
    </row>
    <row r="115" spans="1:3" ht="20.25" customHeight="1" x14ac:dyDescent="0.15">
      <c r="A115">
        <v>118731.11</v>
      </c>
      <c r="B115">
        <v>1225.5999999999999</v>
      </c>
      <c r="C115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"/>
  <sheetViews>
    <sheetView workbookViewId="0">
      <pane ySplit="2" topLeftCell="A3" activePane="bottomLeft" state="frozen"/>
      <selection pane="bottomLeft" activeCell="H6" sqref="H6"/>
    </sheetView>
  </sheetViews>
  <sheetFormatPr defaultRowHeight="24" customHeight="1" x14ac:dyDescent="0.15"/>
  <cols>
    <col min="1" max="1" width="10.5" bestFit="1" customWidth="1"/>
    <col min="2" max="2" width="7.5" bestFit="1" customWidth="1"/>
    <col min="3" max="3" width="7.5" customWidth="1"/>
    <col min="4" max="4" width="10.5" bestFit="1" customWidth="1"/>
    <col min="5" max="5" width="7.5" bestFit="1" customWidth="1"/>
    <col min="7" max="7" width="10.5" bestFit="1" customWidth="1"/>
  </cols>
  <sheetData>
    <row r="1" spans="1:8" ht="24" customHeight="1" x14ac:dyDescent="0.15">
      <c r="A1" t="s">
        <v>50</v>
      </c>
      <c r="D1" t="s">
        <v>51</v>
      </c>
    </row>
    <row r="2" spans="1:8" ht="24" customHeight="1" x14ac:dyDescent="0.15">
      <c r="A2" t="s">
        <v>52</v>
      </c>
      <c r="B2" t="s">
        <v>53</v>
      </c>
      <c r="D2" t="s">
        <v>52</v>
      </c>
      <c r="E2" t="s">
        <v>53</v>
      </c>
      <c r="G2" t="s">
        <v>54</v>
      </c>
    </row>
    <row r="3" spans="1:8" ht="24" customHeight="1" x14ac:dyDescent="0.15">
      <c r="A3">
        <v>57415.25</v>
      </c>
      <c r="B3">
        <v>-2.5000000000000001E-2</v>
      </c>
      <c r="D3">
        <v>57415.25</v>
      </c>
      <c r="E3">
        <v>-2.5000000000000001E-2</v>
      </c>
      <c r="G3" t="s">
        <v>52</v>
      </c>
    </row>
    <row r="4" spans="1:8" ht="24" customHeight="1" x14ac:dyDescent="0.15">
      <c r="A4">
        <v>58257.57</v>
      </c>
      <c r="B4">
        <v>-2.5000000000000001E-2</v>
      </c>
      <c r="D4">
        <v>58257.57</v>
      </c>
      <c r="E4">
        <v>-2.5000000000000001E-2</v>
      </c>
      <c r="G4">
        <v>57420</v>
      </c>
      <c r="H4">
        <f>_xll.hua_slope(G4,$A$3:$B$300)</f>
        <v>-2.5000000000000001E-2</v>
      </c>
    </row>
    <row r="5" spans="1:8" ht="24" customHeight="1" x14ac:dyDescent="0.15">
      <c r="A5">
        <v>58257.57</v>
      </c>
      <c r="B5">
        <v>-2.5000000000000001E-2</v>
      </c>
      <c r="D5">
        <v>58257.57</v>
      </c>
      <c r="E5">
        <v>-2.5000000000000001E-2</v>
      </c>
      <c r="G5">
        <v>58502.66</v>
      </c>
      <c r="H5">
        <f>_xll.hua_slope(G5,$A$3:$B$300)</f>
        <v>0</v>
      </c>
    </row>
    <row r="6" spans="1:8" ht="24" customHeight="1" x14ac:dyDescent="0.15">
      <c r="A6">
        <v>58279.53</v>
      </c>
      <c r="B6">
        <v>-2.5000000000000001E-2</v>
      </c>
      <c r="D6">
        <v>58279.53</v>
      </c>
      <c r="E6">
        <v>0</v>
      </c>
      <c r="G6">
        <v>58520</v>
      </c>
      <c r="H6">
        <f>_xll.hua_slope(G6,$A$3:$B$300)</f>
        <v>1.9740727139183702E-2</v>
      </c>
    </row>
    <row r="7" spans="1:8" ht="24" customHeight="1" x14ac:dyDescent="0.15">
      <c r="A7">
        <v>58301.49</v>
      </c>
      <c r="B7">
        <v>-2.5000000000000001E-2</v>
      </c>
      <c r="D7">
        <v>58301.49</v>
      </c>
      <c r="E7">
        <v>2.5000000000000001E-2</v>
      </c>
      <c r="G7">
        <v>58529.889000000003</v>
      </c>
      <c r="H7">
        <f>_xll.hua_slope(G7,$A$3:$B$300)</f>
        <v>3.0998861549765205E-2</v>
      </c>
    </row>
    <row r="8" spans="1:8" ht="24" customHeight="1" x14ac:dyDescent="0.15">
      <c r="A8">
        <v>58378.16</v>
      </c>
      <c r="B8">
        <v>-2.5000000000000001E-2</v>
      </c>
      <c r="D8">
        <v>58378.16</v>
      </c>
      <c r="E8">
        <v>2.5000000000000001E-2</v>
      </c>
    </row>
    <row r="9" spans="1:8" ht="24" customHeight="1" x14ac:dyDescent="0.15">
      <c r="A9">
        <v>58400.12</v>
      </c>
      <c r="B9">
        <v>-2.5000000000000001E-2</v>
      </c>
      <c r="D9">
        <v>58400.12</v>
      </c>
      <c r="E9">
        <v>0</v>
      </c>
    </row>
    <row r="10" spans="1:8" ht="24" customHeight="1" x14ac:dyDescent="0.15">
      <c r="A10">
        <v>58422.080000000002</v>
      </c>
      <c r="B10">
        <v>-2.5000000000000001E-2</v>
      </c>
      <c r="D10">
        <v>58422.080000000002</v>
      </c>
      <c r="E10">
        <v>-2.5000000000000001E-2</v>
      </c>
    </row>
    <row r="11" spans="1:8" ht="24" customHeight="1" x14ac:dyDescent="0.15">
      <c r="A11">
        <v>58422.080000000002</v>
      </c>
      <c r="B11">
        <v>-2.5000000000000001E-2</v>
      </c>
      <c r="D11">
        <v>58422.080000000002</v>
      </c>
      <c r="E11">
        <v>-2.5000000000000001E-2</v>
      </c>
    </row>
    <row r="12" spans="1:8" ht="24" customHeight="1" x14ac:dyDescent="0.15">
      <c r="A12">
        <v>58480.7</v>
      </c>
      <c r="B12">
        <v>-2.5000000000000001E-2</v>
      </c>
      <c r="D12">
        <v>58480.7</v>
      </c>
      <c r="E12">
        <v>-2.5000000000000001E-2</v>
      </c>
    </row>
    <row r="13" spans="1:8" ht="24" customHeight="1" x14ac:dyDescent="0.15">
      <c r="A13">
        <v>58480.7</v>
      </c>
      <c r="B13">
        <v>-2.5000000000000001E-2</v>
      </c>
      <c r="D13">
        <v>58480.7</v>
      </c>
      <c r="E13">
        <v>-2.5000000000000001E-2</v>
      </c>
    </row>
    <row r="14" spans="1:8" ht="24" customHeight="1" x14ac:dyDescent="0.15">
      <c r="A14">
        <v>58502.66</v>
      </c>
      <c r="B14">
        <v>0</v>
      </c>
      <c r="D14">
        <v>58502.66</v>
      </c>
      <c r="E14">
        <v>-2.5000000000000001E-2</v>
      </c>
    </row>
    <row r="15" spans="1:8" ht="24" customHeight="1" x14ac:dyDescent="0.15">
      <c r="A15">
        <v>58529.89</v>
      </c>
      <c r="B15">
        <v>3.1E-2</v>
      </c>
      <c r="D15">
        <v>58529.89</v>
      </c>
      <c r="E15">
        <v>-3.1E-2</v>
      </c>
    </row>
    <row r="16" spans="1:8" ht="24" customHeight="1" x14ac:dyDescent="0.15">
      <c r="A16">
        <v>58622.82</v>
      </c>
      <c r="B16">
        <v>3.1E-2</v>
      </c>
      <c r="D16">
        <v>58622.82</v>
      </c>
      <c r="E16">
        <v>-3.1E-2</v>
      </c>
    </row>
    <row r="17" spans="1:5" ht="24" customHeight="1" x14ac:dyDescent="0.15">
      <c r="A17">
        <v>58650.05</v>
      </c>
      <c r="B17">
        <v>0</v>
      </c>
      <c r="D17">
        <v>58650.05</v>
      </c>
      <c r="E17">
        <v>-2.5000000000000001E-2</v>
      </c>
    </row>
    <row r="18" spans="1:5" ht="24" customHeight="1" x14ac:dyDescent="0.15">
      <c r="A18">
        <v>58672.01</v>
      </c>
      <c r="B18">
        <v>-2.5000000000000001E-2</v>
      </c>
      <c r="D18">
        <v>58672.01</v>
      </c>
      <c r="E18">
        <v>-2.5000000000000001E-2</v>
      </c>
    </row>
    <row r="19" spans="1:5" ht="24" customHeight="1" x14ac:dyDescent="0.15">
      <c r="A19">
        <v>58672.01</v>
      </c>
      <c r="B19">
        <v>-2.5000000000000001E-2</v>
      </c>
      <c r="D19">
        <v>58672.01</v>
      </c>
      <c r="E19">
        <v>-2.5000000000000001E-2</v>
      </c>
    </row>
    <row r="20" spans="1:5" ht="24" customHeight="1" x14ac:dyDescent="0.15">
      <c r="A20">
        <v>59248.01</v>
      </c>
      <c r="B20">
        <v>-2.5000000000000001E-2</v>
      </c>
      <c r="D20">
        <v>59248.01</v>
      </c>
      <c r="E20">
        <v>-2.5000000000000001E-2</v>
      </c>
    </row>
    <row r="21" spans="1:5" ht="24" customHeight="1" x14ac:dyDescent="0.15">
      <c r="A21">
        <v>59248.01</v>
      </c>
      <c r="B21">
        <v>-2.5000000000000001E-2</v>
      </c>
      <c r="D21">
        <v>59248.01</v>
      </c>
      <c r="E21">
        <v>-2.5000000000000001E-2</v>
      </c>
    </row>
    <row r="22" spans="1:5" ht="24" customHeight="1" x14ac:dyDescent="0.15">
      <c r="A22">
        <v>59269.97</v>
      </c>
      <c r="B22">
        <v>-2.5000000000000001E-2</v>
      </c>
      <c r="D22">
        <v>59269.97</v>
      </c>
      <c r="E22">
        <v>0</v>
      </c>
    </row>
    <row r="23" spans="1:5" ht="24" customHeight="1" x14ac:dyDescent="0.15">
      <c r="A23">
        <v>59297.2</v>
      </c>
      <c r="B23">
        <v>-3.1E-2</v>
      </c>
      <c r="D23">
        <v>59297.2</v>
      </c>
      <c r="E23">
        <v>3.1E-2</v>
      </c>
    </row>
    <row r="24" spans="1:5" ht="24" customHeight="1" x14ac:dyDescent="0.15">
      <c r="A24">
        <v>59440.49</v>
      </c>
      <c r="B24">
        <v>-3.1E-2</v>
      </c>
      <c r="D24">
        <v>59440.49</v>
      </c>
      <c r="E24">
        <v>3.1E-2</v>
      </c>
    </row>
    <row r="25" spans="1:5" ht="24" customHeight="1" x14ac:dyDescent="0.15">
      <c r="A25">
        <v>59473.78</v>
      </c>
      <c r="B25">
        <v>3.1E-2</v>
      </c>
      <c r="D25">
        <v>59473.78</v>
      </c>
      <c r="E25">
        <v>-3.1E-2</v>
      </c>
    </row>
    <row r="26" spans="1:5" ht="24" customHeight="1" x14ac:dyDescent="0.15">
      <c r="A26">
        <v>59632.57</v>
      </c>
      <c r="B26">
        <v>3.1E-2</v>
      </c>
      <c r="D26">
        <v>59632.57</v>
      </c>
      <c r="E26">
        <v>-3.1E-2</v>
      </c>
    </row>
    <row r="27" spans="1:5" ht="24" customHeight="1" x14ac:dyDescent="0.15">
      <c r="A27">
        <v>59659.8</v>
      </c>
      <c r="B27">
        <v>0</v>
      </c>
      <c r="D27">
        <v>59659.8</v>
      </c>
      <c r="E27">
        <v>-2.5000000000000001E-2</v>
      </c>
    </row>
    <row r="28" spans="1:5" ht="24" customHeight="1" x14ac:dyDescent="0.15">
      <c r="A28">
        <v>59681.760000000002</v>
      </c>
      <c r="B28">
        <v>-2.5000000000000001E-2</v>
      </c>
      <c r="D28">
        <v>59681.760000000002</v>
      </c>
      <c r="E28">
        <v>-2.5000000000000001E-2</v>
      </c>
    </row>
    <row r="29" spans="1:5" ht="24" customHeight="1" x14ac:dyDescent="0.15">
      <c r="A29">
        <v>59681.760000000002</v>
      </c>
      <c r="B29">
        <v>-2.5000000000000001E-2</v>
      </c>
      <c r="D29">
        <v>59681.760000000002</v>
      </c>
      <c r="E29">
        <v>-2.5000000000000001E-2</v>
      </c>
    </row>
    <row r="30" spans="1:5" ht="24" customHeight="1" x14ac:dyDescent="0.15">
      <c r="A30">
        <v>59762.2</v>
      </c>
      <c r="B30">
        <v>-2.5000000000000001E-2</v>
      </c>
      <c r="D30">
        <v>59762.2</v>
      </c>
      <c r="E30">
        <v>-2.5000000000000001E-2</v>
      </c>
    </row>
    <row r="31" spans="1:5" ht="24" customHeight="1" x14ac:dyDescent="0.15">
      <c r="A31">
        <v>59784.160000000003</v>
      </c>
      <c r="B31">
        <v>-2.5000000000000001E-2</v>
      </c>
      <c r="D31">
        <v>59784.160000000003</v>
      </c>
      <c r="E31">
        <v>0</v>
      </c>
    </row>
    <row r="32" spans="1:5" ht="24" customHeight="1" x14ac:dyDescent="0.15">
      <c r="A32">
        <v>59806.11</v>
      </c>
      <c r="B32">
        <v>-2.5000000000000001E-2</v>
      </c>
      <c r="D32">
        <v>59806.11</v>
      </c>
      <c r="E32">
        <v>2.5000000000000001E-2</v>
      </c>
    </row>
    <row r="33" spans="1:5" ht="24" customHeight="1" x14ac:dyDescent="0.15">
      <c r="A33">
        <v>59826.32</v>
      </c>
      <c r="B33">
        <v>-4.8000000000000001E-2</v>
      </c>
      <c r="D33">
        <v>59826.32</v>
      </c>
      <c r="E33">
        <v>4.8000000000000001E-2</v>
      </c>
    </row>
    <row r="34" spans="1:5" ht="24" customHeight="1" x14ac:dyDescent="0.15">
      <c r="A34">
        <v>59921.79</v>
      </c>
      <c r="B34">
        <v>-4.8000000000000001E-2</v>
      </c>
      <c r="D34">
        <v>59921.79</v>
      </c>
      <c r="E34">
        <v>4.8000000000000001E-2</v>
      </c>
    </row>
    <row r="35" spans="1:5" ht="24" customHeight="1" x14ac:dyDescent="0.15">
      <c r="A35">
        <v>60001.65</v>
      </c>
      <c r="B35">
        <v>-2.5000000000000001E-2</v>
      </c>
      <c r="D35">
        <v>60001.65</v>
      </c>
      <c r="E35">
        <v>2.5000000000000001E-2</v>
      </c>
    </row>
    <row r="36" spans="1:5" ht="24" customHeight="1" x14ac:dyDescent="0.15">
      <c r="A36">
        <v>60075.87</v>
      </c>
      <c r="B36">
        <v>-2.5000000000000001E-2</v>
      </c>
      <c r="D36">
        <v>60075.87</v>
      </c>
      <c r="E36">
        <v>2.5000000000000001E-2</v>
      </c>
    </row>
    <row r="37" spans="1:5" ht="24" customHeight="1" x14ac:dyDescent="0.15">
      <c r="A37">
        <v>60097.83</v>
      </c>
      <c r="B37">
        <v>-2.5000000000000001E-2</v>
      </c>
      <c r="D37">
        <v>60097.83</v>
      </c>
      <c r="E37">
        <v>0</v>
      </c>
    </row>
    <row r="38" spans="1:5" ht="24" customHeight="1" x14ac:dyDescent="0.15">
      <c r="A38">
        <v>60119.79</v>
      </c>
      <c r="B38">
        <v>-2.5000000000000001E-2</v>
      </c>
      <c r="D38">
        <v>60119.79</v>
      </c>
      <c r="E38">
        <v>-2.5000000000000001E-2</v>
      </c>
    </row>
    <row r="39" spans="1:5" ht="24" customHeight="1" x14ac:dyDescent="0.15">
      <c r="A39">
        <v>60119.79</v>
      </c>
      <c r="B39">
        <v>-2.5000000000000001E-2</v>
      </c>
      <c r="D39">
        <v>60119.79</v>
      </c>
      <c r="E39">
        <v>-2.5000000000000001E-2</v>
      </c>
    </row>
    <row r="40" spans="1:5" ht="24" customHeight="1" x14ac:dyDescent="0.15">
      <c r="A40">
        <v>61238.63</v>
      </c>
      <c r="B40">
        <v>-2.5000000000000001E-2</v>
      </c>
      <c r="D40">
        <v>61238.63</v>
      </c>
      <c r="E40">
        <v>-2.5000000000000001E-2</v>
      </c>
    </row>
    <row r="41" spans="1:5" ht="24" customHeight="1" x14ac:dyDescent="0.15">
      <c r="A41">
        <v>61238.63</v>
      </c>
      <c r="B41">
        <v>-2.5000000000000001E-2</v>
      </c>
      <c r="D41">
        <v>61238.63</v>
      </c>
      <c r="E41">
        <v>-2.5000000000000001E-2</v>
      </c>
    </row>
    <row r="42" spans="1:5" ht="24" customHeight="1" x14ac:dyDescent="0.15">
      <c r="A42">
        <v>61260.59</v>
      </c>
      <c r="B42">
        <v>0</v>
      </c>
      <c r="D42">
        <v>61260.59</v>
      </c>
      <c r="E42">
        <v>-2.5000000000000001E-2</v>
      </c>
    </row>
    <row r="43" spans="1:5" ht="24" customHeight="1" x14ac:dyDescent="0.15">
      <c r="A43">
        <v>61282.55</v>
      </c>
      <c r="B43">
        <v>2.5000000000000001E-2</v>
      </c>
      <c r="D43">
        <v>61282.55</v>
      </c>
      <c r="E43">
        <v>-2.5000000000000001E-2</v>
      </c>
    </row>
    <row r="44" spans="1:5" ht="24" customHeight="1" x14ac:dyDescent="0.15">
      <c r="A44">
        <v>61334.18</v>
      </c>
      <c r="B44">
        <v>2.5000000000000001E-2</v>
      </c>
      <c r="D44">
        <v>61334.18</v>
      </c>
      <c r="E44">
        <v>-2.5000000000000001E-2</v>
      </c>
    </row>
    <row r="45" spans="1:5" ht="24" customHeight="1" x14ac:dyDescent="0.15">
      <c r="A45">
        <v>61356.14</v>
      </c>
      <c r="B45">
        <v>0</v>
      </c>
      <c r="D45">
        <v>61356.14</v>
      </c>
      <c r="E45">
        <v>-2.5000000000000001E-2</v>
      </c>
    </row>
    <row r="46" spans="1:5" ht="24" customHeight="1" x14ac:dyDescent="0.15">
      <c r="A46">
        <v>61378.1</v>
      </c>
      <c r="B46">
        <v>-2.5000000000000001E-2</v>
      </c>
      <c r="D46">
        <v>61378.1</v>
      </c>
      <c r="E46">
        <v>-2.5000000000000001E-2</v>
      </c>
    </row>
    <row r="47" spans="1:5" ht="24" customHeight="1" x14ac:dyDescent="0.15">
      <c r="A47">
        <v>61378.1</v>
      </c>
      <c r="B47">
        <v>-2.5000000000000001E-2</v>
      </c>
      <c r="D47">
        <v>61378.1</v>
      </c>
      <c r="E47">
        <v>-2.5000000000000001E-2</v>
      </c>
    </row>
    <row r="48" spans="1:5" ht="24" customHeight="1" x14ac:dyDescent="0.15">
      <c r="A48">
        <v>63243.57</v>
      </c>
      <c r="B48">
        <v>-2.5000000000000001E-2</v>
      </c>
      <c r="D48">
        <v>63243.57</v>
      </c>
      <c r="E48">
        <v>-2.5000000000000001E-2</v>
      </c>
    </row>
    <row r="49" spans="1:5" ht="24" customHeight="1" x14ac:dyDescent="0.15">
      <c r="A49">
        <v>63243.57</v>
      </c>
      <c r="B49">
        <v>-2.5000000000000001E-2</v>
      </c>
      <c r="D49">
        <v>63243.57</v>
      </c>
      <c r="E49">
        <v>-2.5000000000000001E-2</v>
      </c>
    </row>
    <row r="50" spans="1:5" ht="24" customHeight="1" x14ac:dyDescent="0.15">
      <c r="A50">
        <v>63265.53</v>
      </c>
      <c r="B50">
        <v>0</v>
      </c>
      <c r="D50">
        <v>63265.53</v>
      </c>
      <c r="E50">
        <v>-2.5000000000000001E-2</v>
      </c>
    </row>
    <row r="51" spans="1:5" ht="24" customHeight="1" x14ac:dyDescent="0.15">
      <c r="A51">
        <v>63292.76</v>
      </c>
      <c r="B51">
        <v>3.1E-2</v>
      </c>
      <c r="D51">
        <v>63292.76</v>
      </c>
      <c r="E51">
        <v>-3.1E-2</v>
      </c>
    </row>
    <row r="52" spans="1:5" ht="24" customHeight="1" x14ac:dyDescent="0.15">
      <c r="A52">
        <v>63427.21</v>
      </c>
      <c r="B52">
        <v>3.1E-2</v>
      </c>
      <c r="D52">
        <v>63427.21</v>
      </c>
      <c r="E52">
        <v>-3.1E-2</v>
      </c>
    </row>
    <row r="53" spans="1:5" ht="24" customHeight="1" x14ac:dyDescent="0.15">
      <c r="A53">
        <v>63454.44</v>
      </c>
      <c r="B53">
        <v>0</v>
      </c>
      <c r="D53">
        <v>63454.44</v>
      </c>
      <c r="E53">
        <v>-2.5000000000000001E-2</v>
      </c>
    </row>
    <row r="54" spans="1:5" ht="24" customHeight="1" x14ac:dyDescent="0.15">
      <c r="A54">
        <v>63476.4</v>
      </c>
      <c r="B54">
        <v>-2.5000000000000001E-2</v>
      </c>
      <c r="D54">
        <v>63476.4</v>
      </c>
      <c r="E54">
        <v>-2.5000000000000001E-2</v>
      </c>
    </row>
    <row r="55" spans="1:5" ht="24" customHeight="1" x14ac:dyDescent="0.15">
      <c r="A55">
        <v>63476.4</v>
      </c>
      <c r="B55">
        <v>-2.5000000000000001E-2</v>
      </c>
      <c r="D55">
        <v>63476.4</v>
      </c>
      <c r="E55">
        <v>-2.5000000000000001E-2</v>
      </c>
    </row>
    <row r="56" spans="1:5" ht="24" customHeight="1" x14ac:dyDescent="0.15">
      <c r="A56">
        <v>63559.3</v>
      </c>
      <c r="B56">
        <v>-2.5000000000000001E-2</v>
      </c>
      <c r="D56">
        <v>63559.3</v>
      </c>
      <c r="E56">
        <v>-2.5000000000000001E-2</v>
      </c>
    </row>
    <row r="57" spans="1:5" ht="24" customHeight="1" x14ac:dyDescent="0.15">
      <c r="A57">
        <v>63559.3</v>
      </c>
      <c r="B57">
        <v>-2.5000000000000001E-2</v>
      </c>
      <c r="D57">
        <v>63559.3</v>
      </c>
      <c r="E57">
        <v>-2.5000000000000001E-2</v>
      </c>
    </row>
    <row r="58" spans="1:5" ht="24" customHeight="1" x14ac:dyDescent="0.15">
      <c r="A58">
        <v>63581.26</v>
      </c>
      <c r="B58">
        <v>-2.5000000000000001E-2</v>
      </c>
      <c r="D58">
        <v>63581.26</v>
      </c>
      <c r="E58">
        <v>0</v>
      </c>
    </row>
    <row r="59" spans="1:5" ht="24" customHeight="1" x14ac:dyDescent="0.15">
      <c r="A59">
        <v>63603.22</v>
      </c>
      <c r="B59">
        <v>-2.5000000000000001E-2</v>
      </c>
      <c r="D59">
        <v>63603.22</v>
      </c>
      <c r="E59">
        <v>2.5000000000000001E-2</v>
      </c>
    </row>
    <row r="60" spans="1:5" ht="24" customHeight="1" x14ac:dyDescent="0.15">
      <c r="A60">
        <v>63750.83</v>
      </c>
      <c r="B60">
        <v>-2.5000000000000001E-2</v>
      </c>
      <c r="D60">
        <v>63750.83</v>
      </c>
      <c r="E60">
        <v>2.5000000000000001E-2</v>
      </c>
    </row>
    <row r="61" spans="1:5" ht="24" customHeight="1" x14ac:dyDescent="0.15">
      <c r="A61">
        <v>63772.79</v>
      </c>
      <c r="B61">
        <v>-2.5000000000000001E-2</v>
      </c>
      <c r="D61">
        <v>63772.79</v>
      </c>
      <c r="E61">
        <v>0</v>
      </c>
    </row>
    <row r="62" spans="1:5" ht="24" customHeight="1" x14ac:dyDescent="0.15">
      <c r="A62">
        <v>63794.75</v>
      </c>
      <c r="B62">
        <v>-2.5000000000000001E-2</v>
      </c>
      <c r="D62">
        <v>63794.75</v>
      </c>
      <c r="E62">
        <v>-2.5000000000000001E-2</v>
      </c>
    </row>
    <row r="63" spans="1:5" ht="24" customHeight="1" x14ac:dyDescent="0.15">
      <c r="A63">
        <v>63794.75</v>
      </c>
      <c r="B63">
        <v>-2.5000000000000001E-2</v>
      </c>
      <c r="D63">
        <v>63794.75</v>
      </c>
      <c r="E63">
        <v>-2.5000000000000001E-2</v>
      </c>
    </row>
    <row r="64" spans="1:5" ht="24" customHeight="1" x14ac:dyDescent="0.15">
      <c r="A64">
        <v>64109.47</v>
      </c>
      <c r="B64">
        <v>-2.5000000000000001E-2</v>
      </c>
      <c r="D64">
        <v>64109.47</v>
      </c>
      <c r="E64">
        <v>-2.5000000000000001E-2</v>
      </c>
    </row>
    <row r="65" spans="1:5" ht="24" customHeight="1" x14ac:dyDescent="0.15">
      <c r="A65">
        <v>64109.47</v>
      </c>
      <c r="B65">
        <v>-2.5000000000000001E-2</v>
      </c>
      <c r="D65">
        <v>64109.47</v>
      </c>
      <c r="E65">
        <v>-2.5000000000000001E-2</v>
      </c>
    </row>
    <row r="66" spans="1:5" ht="24" customHeight="1" x14ac:dyDescent="0.15">
      <c r="A66">
        <v>64131.42</v>
      </c>
      <c r="B66">
        <v>0</v>
      </c>
      <c r="D66">
        <v>64131.42</v>
      </c>
      <c r="E66">
        <v>-2.5000000000000001E-2</v>
      </c>
    </row>
    <row r="67" spans="1:5" ht="24" customHeight="1" x14ac:dyDescent="0.15">
      <c r="A67">
        <v>64173.58</v>
      </c>
      <c r="B67">
        <v>4.8000000000000001E-2</v>
      </c>
      <c r="D67">
        <v>64173.58</v>
      </c>
      <c r="E67">
        <v>-4.8000000000000001E-2</v>
      </c>
    </row>
    <row r="68" spans="1:5" ht="24" customHeight="1" x14ac:dyDescent="0.15">
      <c r="A68">
        <v>64192.03</v>
      </c>
      <c r="B68">
        <v>4.8000000000000001E-2</v>
      </c>
      <c r="D68">
        <v>64192.03</v>
      </c>
      <c r="E68">
        <v>-4.8000000000000001E-2</v>
      </c>
    </row>
    <row r="69" spans="1:5" ht="24" customHeight="1" x14ac:dyDescent="0.15">
      <c r="A69">
        <v>64234.19</v>
      </c>
      <c r="B69">
        <v>0</v>
      </c>
      <c r="D69">
        <v>64234.19</v>
      </c>
      <c r="E69">
        <v>-2.5000000000000001E-2</v>
      </c>
    </row>
    <row r="70" spans="1:5" ht="24" customHeight="1" x14ac:dyDescent="0.15">
      <c r="A70">
        <v>64256.15</v>
      </c>
      <c r="B70">
        <v>-2.5000000000000001E-2</v>
      </c>
      <c r="D70">
        <v>64256.15</v>
      </c>
      <c r="E70">
        <v>-2.5000000000000001E-2</v>
      </c>
    </row>
    <row r="71" spans="1:5" ht="24" customHeight="1" x14ac:dyDescent="0.15">
      <c r="A71">
        <v>64256.15</v>
      </c>
      <c r="B71">
        <v>-2.5000000000000001E-2</v>
      </c>
      <c r="D71">
        <v>64256.15</v>
      </c>
      <c r="E71">
        <v>-2.5000000000000001E-2</v>
      </c>
    </row>
    <row r="72" spans="1:5" ht="24" customHeight="1" x14ac:dyDescent="0.15">
      <c r="A72">
        <v>64398.879999999997</v>
      </c>
      <c r="B72">
        <v>-2.5000000000000001E-2</v>
      </c>
      <c r="D72">
        <v>64398.879999999997</v>
      </c>
      <c r="E72">
        <v>-2.5000000000000001E-2</v>
      </c>
    </row>
    <row r="73" spans="1:5" ht="24" customHeight="1" x14ac:dyDescent="0.15">
      <c r="A73">
        <v>64398.879999999997</v>
      </c>
      <c r="B73">
        <v>-2.5000000000000001E-2</v>
      </c>
      <c r="D73">
        <v>64398.879999999997</v>
      </c>
      <c r="E73">
        <v>-2.5000000000000001E-2</v>
      </c>
    </row>
    <row r="74" spans="1:5" ht="24" customHeight="1" x14ac:dyDescent="0.15">
      <c r="A74">
        <v>64420.84</v>
      </c>
      <c r="B74">
        <v>0</v>
      </c>
      <c r="D74">
        <v>64420.84</v>
      </c>
      <c r="E74">
        <v>-2.5000000000000001E-2</v>
      </c>
    </row>
    <row r="75" spans="1:5" ht="24" customHeight="1" x14ac:dyDescent="0.15">
      <c r="A75">
        <v>64442.8</v>
      </c>
      <c r="B75">
        <v>2.5000000000000001E-2</v>
      </c>
      <c r="D75">
        <v>64442.8</v>
      </c>
      <c r="E75">
        <v>-2.5000000000000001E-2</v>
      </c>
    </row>
    <row r="76" spans="1:5" ht="24" customHeight="1" x14ac:dyDescent="0.15">
      <c r="A76">
        <v>64601.59</v>
      </c>
      <c r="B76">
        <v>2.5000000000000001E-2</v>
      </c>
      <c r="D76">
        <v>64601.59</v>
      </c>
      <c r="E76">
        <v>-2.5000000000000001E-2</v>
      </c>
    </row>
    <row r="77" spans="1:5" ht="24" customHeight="1" x14ac:dyDescent="0.15">
      <c r="A77">
        <v>64623.55</v>
      </c>
      <c r="B77">
        <v>0</v>
      </c>
      <c r="D77">
        <v>64623.55</v>
      </c>
      <c r="E77">
        <v>-2.5000000000000001E-2</v>
      </c>
    </row>
    <row r="78" spans="1:5" ht="24" customHeight="1" x14ac:dyDescent="0.15">
      <c r="A78">
        <v>64645.51</v>
      </c>
      <c r="B78">
        <v>-2.5000000000000001E-2</v>
      </c>
      <c r="D78">
        <v>64645.51</v>
      </c>
      <c r="E78">
        <v>-2.5000000000000001E-2</v>
      </c>
    </row>
    <row r="79" spans="1:5" ht="24" customHeight="1" x14ac:dyDescent="0.15">
      <c r="A79">
        <v>64645.51</v>
      </c>
      <c r="B79">
        <v>-2.5000000000000001E-2</v>
      </c>
      <c r="D79">
        <v>64645.51</v>
      </c>
      <c r="E79">
        <v>-2.5000000000000001E-2</v>
      </c>
    </row>
    <row r="80" spans="1:5" ht="24" customHeight="1" x14ac:dyDescent="0.15">
      <c r="A80">
        <v>64748.43</v>
      </c>
      <c r="B80">
        <v>-2.5000000000000001E-2</v>
      </c>
      <c r="D80">
        <v>64748.43</v>
      </c>
      <c r="E80">
        <v>-2.5000000000000001E-2</v>
      </c>
    </row>
    <row r="81" spans="1:5" ht="24" customHeight="1" x14ac:dyDescent="0.15">
      <c r="A81">
        <v>64748.43</v>
      </c>
      <c r="B81">
        <v>-2.5000000000000001E-2</v>
      </c>
      <c r="D81">
        <v>64748.43</v>
      </c>
      <c r="E81">
        <v>-2.5000000000000001E-2</v>
      </c>
    </row>
    <row r="82" spans="1:5" ht="24" customHeight="1" x14ac:dyDescent="0.15">
      <c r="A82">
        <v>64770.39</v>
      </c>
      <c r="B82">
        <v>0</v>
      </c>
      <c r="D82">
        <v>64770.39</v>
      </c>
      <c r="E82">
        <v>-2.5000000000000001E-2</v>
      </c>
    </row>
    <row r="83" spans="1:5" ht="24" customHeight="1" x14ac:dyDescent="0.15">
      <c r="A83">
        <v>64812.55</v>
      </c>
      <c r="B83">
        <v>4.8000000000000001E-2</v>
      </c>
      <c r="D83">
        <v>64812.55</v>
      </c>
      <c r="E83">
        <v>-4.8000000000000001E-2</v>
      </c>
    </row>
    <row r="84" spans="1:5" ht="24" customHeight="1" x14ac:dyDescent="0.15">
      <c r="A84">
        <v>64971.51</v>
      </c>
      <c r="B84">
        <v>4.8000000000000001E-2</v>
      </c>
      <c r="D84">
        <v>64971.51</v>
      </c>
      <c r="E84">
        <v>-4.8000000000000001E-2</v>
      </c>
    </row>
    <row r="85" spans="1:5" ht="24" customHeight="1" x14ac:dyDescent="0.15">
      <c r="A85">
        <v>65013.67</v>
      </c>
      <c r="B85">
        <v>0</v>
      </c>
      <c r="D85">
        <v>65013.67</v>
      </c>
      <c r="E85">
        <v>-2.5000000000000001E-2</v>
      </c>
    </row>
    <row r="86" spans="1:5" ht="24" customHeight="1" x14ac:dyDescent="0.15">
      <c r="A86">
        <v>65035.63</v>
      </c>
      <c r="B86">
        <v>-2.5000000000000001E-2</v>
      </c>
      <c r="D86">
        <v>65035.63</v>
      </c>
      <c r="E86">
        <v>-2.5000000000000001E-2</v>
      </c>
    </row>
    <row r="87" spans="1:5" ht="24" customHeight="1" x14ac:dyDescent="0.15">
      <c r="A87">
        <v>65035.63</v>
      </c>
      <c r="B87">
        <v>-2.5000000000000001E-2</v>
      </c>
      <c r="D87">
        <v>65035.63</v>
      </c>
      <c r="E87">
        <v>-2.5000000000000001E-2</v>
      </c>
    </row>
    <row r="88" spans="1:5" ht="24" customHeight="1" x14ac:dyDescent="0.15">
      <c r="A88">
        <v>65309.25</v>
      </c>
      <c r="B88">
        <v>-2.5000000000000001E-2</v>
      </c>
      <c r="D88">
        <v>65309.25</v>
      </c>
      <c r="E88">
        <v>-2.5000000000000001E-2</v>
      </c>
    </row>
    <row r="89" spans="1:5" ht="24" customHeight="1" x14ac:dyDescent="0.15">
      <c r="A89">
        <v>65309.25</v>
      </c>
      <c r="B89">
        <v>-2.5000000000000001E-2</v>
      </c>
      <c r="D89">
        <v>65309.25</v>
      </c>
      <c r="E89">
        <v>-2.5000000000000001E-2</v>
      </c>
    </row>
    <row r="90" spans="1:5" ht="24" customHeight="1" x14ac:dyDescent="0.15">
      <c r="A90">
        <v>65331.21</v>
      </c>
      <c r="B90">
        <v>-2.5000000000000001E-2</v>
      </c>
      <c r="D90">
        <v>65331.21</v>
      </c>
      <c r="E90">
        <v>0</v>
      </c>
    </row>
    <row r="91" spans="1:5" ht="24" customHeight="1" x14ac:dyDescent="0.15">
      <c r="A91">
        <v>65358.44</v>
      </c>
      <c r="B91">
        <v>-3.1E-2</v>
      </c>
      <c r="D91">
        <v>65358.44</v>
      </c>
      <c r="E91">
        <v>3.1E-2</v>
      </c>
    </row>
    <row r="92" spans="1:5" ht="24" customHeight="1" x14ac:dyDescent="0.15">
      <c r="A92">
        <v>65460.65</v>
      </c>
      <c r="B92">
        <v>-3.1E-2</v>
      </c>
      <c r="D92">
        <v>65460.65</v>
      </c>
      <c r="E92">
        <v>3.1E-2</v>
      </c>
    </row>
    <row r="93" spans="1:5" ht="24" customHeight="1" x14ac:dyDescent="0.15">
      <c r="A93">
        <v>65487.88</v>
      </c>
      <c r="B93">
        <v>-2.5000000000000001E-2</v>
      </c>
      <c r="D93">
        <v>65487.88</v>
      </c>
      <c r="E93">
        <v>0</v>
      </c>
    </row>
    <row r="94" spans="1:5" ht="24" customHeight="1" x14ac:dyDescent="0.15">
      <c r="A94">
        <v>65509.84</v>
      </c>
      <c r="B94">
        <v>-2.5000000000000001E-2</v>
      </c>
      <c r="D94">
        <v>65509.84</v>
      </c>
      <c r="E94">
        <v>-2.5000000000000001E-2</v>
      </c>
    </row>
    <row r="95" spans="1:5" ht="24" customHeight="1" x14ac:dyDescent="0.15">
      <c r="A95">
        <v>65509.84</v>
      </c>
      <c r="B95">
        <v>-2.5000000000000001E-2</v>
      </c>
      <c r="D95">
        <v>65509.84</v>
      </c>
      <c r="E95">
        <v>-2.5000000000000001E-2</v>
      </c>
    </row>
    <row r="96" spans="1:5" ht="24" customHeight="1" x14ac:dyDescent="0.15">
      <c r="A96">
        <v>66392.92</v>
      </c>
      <c r="B96">
        <v>-2.5000000000000001E-2</v>
      </c>
      <c r="D96">
        <v>66392.92</v>
      </c>
      <c r="E96">
        <v>-2.5000000000000001E-2</v>
      </c>
    </row>
    <row r="97" spans="1:5" ht="24" customHeight="1" x14ac:dyDescent="0.15">
      <c r="A97">
        <v>66392.92</v>
      </c>
      <c r="B97">
        <v>-2.5000000000000001E-2</v>
      </c>
      <c r="D97">
        <v>66392.92</v>
      </c>
      <c r="E97">
        <v>-2.5000000000000001E-2</v>
      </c>
    </row>
    <row r="98" spans="1:5" ht="24" customHeight="1" x14ac:dyDescent="0.15">
      <c r="A98">
        <v>66414.880000000005</v>
      </c>
      <c r="B98">
        <v>0</v>
      </c>
      <c r="D98">
        <v>66414.880000000005</v>
      </c>
      <c r="E98">
        <v>-2.5000000000000001E-2</v>
      </c>
    </row>
    <row r="99" spans="1:5" ht="24" customHeight="1" x14ac:dyDescent="0.15">
      <c r="A99">
        <v>66436.84</v>
      </c>
      <c r="B99">
        <v>2.5000000000000001E-2</v>
      </c>
      <c r="D99">
        <v>66436.84</v>
      </c>
      <c r="E99">
        <v>-2.5000000000000001E-2</v>
      </c>
    </row>
    <row r="100" spans="1:5" ht="24" customHeight="1" x14ac:dyDescent="0.15">
      <c r="A100">
        <v>66580.460000000006</v>
      </c>
      <c r="B100">
        <v>2.5000000000000001E-2</v>
      </c>
      <c r="D100">
        <v>66580.460000000006</v>
      </c>
      <c r="E100">
        <v>-2.5000000000000001E-2</v>
      </c>
    </row>
    <row r="101" spans="1:5" ht="24" customHeight="1" x14ac:dyDescent="0.15">
      <c r="A101">
        <v>66602.42</v>
      </c>
      <c r="B101">
        <v>0</v>
      </c>
      <c r="D101">
        <v>66602.42</v>
      </c>
      <c r="E101">
        <v>-2.5000000000000001E-2</v>
      </c>
    </row>
    <row r="102" spans="1:5" ht="24" customHeight="1" x14ac:dyDescent="0.15">
      <c r="A102">
        <v>66624.38</v>
      </c>
      <c r="B102">
        <v>-2.5000000000000001E-2</v>
      </c>
      <c r="D102">
        <v>66624.38</v>
      </c>
      <c r="E102">
        <v>-2.5000000000000001E-2</v>
      </c>
    </row>
    <row r="103" spans="1:5" ht="24" customHeight="1" x14ac:dyDescent="0.15">
      <c r="A103">
        <v>66624.38</v>
      </c>
      <c r="B103">
        <v>-2.5000000000000001E-2</v>
      </c>
      <c r="D103">
        <v>66624.38</v>
      </c>
      <c r="E103">
        <v>-2.5000000000000001E-2</v>
      </c>
    </row>
    <row r="104" spans="1:5" ht="24" customHeight="1" x14ac:dyDescent="0.15">
      <c r="A104">
        <v>66907.06</v>
      </c>
      <c r="B104">
        <v>-2.5000000000000001E-2</v>
      </c>
      <c r="D104">
        <v>66907.06</v>
      </c>
      <c r="E104">
        <v>-2.5000000000000001E-2</v>
      </c>
    </row>
    <row r="105" spans="1:5" ht="24" customHeight="1" x14ac:dyDescent="0.15">
      <c r="A105">
        <v>66907.06</v>
      </c>
      <c r="B105">
        <v>-2.5000000000000001E-2</v>
      </c>
      <c r="D105">
        <v>66907.06</v>
      </c>
      <c r="E105">
        <v>-2.5000000000000001E-2</v>
      </c>
    </row>
    <row r="106" spans="1:5" ht="24" customHeight="1" x14ac:dyDescent="0.15">
      <c r="A106">
        <v>66929.009999999995</v>
      </c>
      <c r="B106">
        <v>-2.5000000000000001E-2</v>
      </c>
      <c r="D106">
        <v>66929.009999999995</v>
      </c>
      <c r="E106">
        <v>0</v>
      </c>
    </row>
    <row r="107" spans="1:5" ht="24" customHeight="1" x14ac:dyDescent="0.15">
      <c r="A107">
        <v>66980.83</v>
      </c>
      <c r="B107">
        <v>-5.8999999999999997E-2</v>
      </c>
      <c r="D107">
        <v>66980.83</v>
      </c>
      <c r="E107">
        <v>5.8999999999999997E-2</v>
      </c>
    </row>
    <row r="108" spans="1:5" ht="24" customHeight="1" x14ac:dyDescent="0.15">
      <c r="A108">
        <v>67007.62</v>
      </c>
      <c r="B108">
        <v>-5.8999999999999997E-2</v>
      </c>
      <c r="D108">
        <v>67007.62</v>
      </c>
      <c r="E108">
        <v>5.8999999999999997E-2</v>
      </c>
    </row>
    <row r="109" spans="1:5" ht="24" customHeight="1" x14ac:dyDescent="0.15">
      <c r="A109">
        <v>67059.44</v>
      </c>
      <c r="B109">
        <v>-2.5000000000000001E-2</v>
      </c>
      <c r="D109">
        <v>67059.44</v>
      </c>
      <c r="E109">
        <v>0</v>
      </c>
    </row>
    <row r="110" spans="1:5" ht="24" customHeight="1" x14ac:dyDescent="0.15">
      <c r="A110">
        <v>67081.399999999994</v>
      </c>
      <c r="B110">
        <v>-2.5000000000000001E-2</v>
      </c>
      <c r="D110">
        <v>67081.399999999994</v>
      </c>
      <c r="E110">
        <v>-2.5000000000000001E-2</v>
      </c>
    </row>
    <row r="111" spans="1:5" ht="24" customHeight="1" x14ac:dyDescent="0.15">
      <c r="A111">
        <v>67081.399999999994</v>
      </c>
      <c r="B111">
        <v>-2.5000000000000001E-2</v>
      </c>
      <c r="D111">
        <v>67081.399999999994</v>
      </c>
      <c r="E111">
        <v>-2.5000000000000001E-2</v>
      </c>
    </row>
    <row r="112" spans="1:5" ht="24" customHeight="1" x14ac:dyDescent="0.15">
      <c r="A112">
        <v>67154.070000000007</v>
      </c>
      <c r="B112">
        <v>-2.5000000000000001E-2</v>
      </c>
      <c r="D112">
        <v>67154.070000000007</v>
      </c>
      <c r="E112">
        <v>-2.5000000000000001E-2</v>
      </c>
    </row>
    <row r="113" spans="1:5" ht="24" customHeight="1" x14ac:dyDescent="0.15">
      <c r="A113">
        <v>67154.070000000007</v>
      </c>
      <c r="B113">
        <v>-2.5000000000000001E-2</v>
      </c>
      <c r="D113">
        <v>67154.070000000007</v>
      </c>
      <c r="E113">
        <v>-2.5000000000000001E-2</v>
      </c>
    </row>
    <row r="114" spans="1:5" ht="24" customHeight="1" x14ac:dyDescent="0.15">
      <c r="A114">
        <v>67176.02</v>
      </c>
      <c r="B114">
        <v>-2.5000000000000001E-2</v>
      </c>
      <c r="D114">
        <v>67176.02</v>
      </c>
      <c r="E114">
        <v>0</v>
      </c>
    </row>
    <row r="115" spans="1:5" ht="24" customHeight="1" x14ac:dyDescent="0.15">
      <c r="A115">
        <v>67227.839999999997</v>
      </c>
      <c r="B115">
        <v>-5.8999999999999997E-2</v>
      </c>
      <c r="D115">
        <v>67227.839999999997</v>
      </c>
      <c r="E115">
        <v>5.8999999999999997E-2</v>
      </c>
    </row>
    <row r="116" spans="1:5" ht="24" customHeight="1" x14ac:dyDescent="0.15">
      <c r="A116">
        <v>67326.61</v>
      </c>
      <c r="B116">
        <v>-5.8999999999999997E-2</v>
      </c>
      <c r="D116">
        <v>67326.61</v>
      </c>
      <c r="E116">
        <v>5.8999999999999997E-2</v>
      </c>
    </row>
    <row r="117" spans="1:5" ht="24" customHeight="1" x14ac:dyDescent="0.15">
      <c r="A117">
        <v>67378.429999999993</v>
      </c>
      <c r="B117">
        <v>-2.5000000000000001E-2</v>
      </c>
      <c r="D117">
        <v>67378.429999999993</v>
      </c>
      <c r="E117">
        <v>0</v>
      </c>
    </row>
    <row r="118" spans="1:5" ht="24" customHeight="1" x14ac:dyDescent="0.15">
      <c r="A118">
        <v>67400.39</v>
      </c>
      <c r="B118">
        <v>-2.5000000000000001E-2</v>
      </c>
      <c r="D118">
        <v>67400.39</v>
      </c>
      <c r="E118">
        <v>-2.5000000000000001E-2</v>
      </c>
    </row>
    <row r="119" spans="1:5" ht="24" customHeight="1" x14ac:dyDescent="0.15">
      <c r="A119">
        <v>67400.39</v>
      </c>
      <c r="B119">
        <v>-2.5000000000000001E-2</v>
      </c>
      <c r="D119">
        <v>67400.39</v>
      </c>
      <c r="E119">
        <v>-2.5000000000000001E-2</v>
      </c>
    </row>
    <row r="120" spans="1:5" ht="24" customHeight="1" x14ac:dyDescent="0.15">
      <c r="A120">
        <v>67672.160000000003</v>
      </c>
      <c r="B120">
        <v>-2.5000000000000001E-2</v>
      </c>
      <c r="D120">
        <v>67672.160000000003</v>
      </c>
      <c r="E120">
        <v>-2.5000000000000001E-2</v>
      </c>
    </row>
    <row r="121" spans="1:5" ht="24" customHeight="1" x14ac:dyDescent="0.15">
      <c r="A121">
        <v>67672.160000000003</v>
      </c>
      <c r="B121">
        <v>-2.5000000000000001E-2</v>
      </c>
      <c r="D121">
        <v>67672.160000000003</v>
      </c>
      <c r="E121">
        <v>-2.5000000000000001E-2</v>
      </c>
    </row>
    <row r="122" spans="1:5" ht="24" customHeight="1" x14ac:dyDescent="0.15">
      <c r="A122">
        <v>67694.12</v>
      </c>
      <c r="B122">
        <v>-2.5000000000000001E-2</v>
      </c>
      <c r="D122">
        <v>67694.12</v>
      </c>
      <c r="E122">
        <v>0</v>
      </c>
    </row>
    <row r="123" spans="1:5" ht="24" customHeight="1" x14ac:dyDescent="0.15">
      <c r="A123">
        <v>67721.350000000006</v>
      </c>
      <c r="B123">
        <v>-3.1E-2</v>
      </c>
      <c r="D123">
        <v>67721.350000000006</v>
      </c>
      <c r="E123">
        <v>3.1E-2</v>
      </c>
    </row>
    <row r="124" spans="1:5" ht="24" customHeight="1" x14ac:dyDescent="0.15">
      <c r="A124">
        <v>67940.320000000007</v>
      </c>
      <c r="B124">
        <v>-3.1E-2</v>
      </c>
      <c r="D124">
        <v>67940.320000000007</v>
      </c>
      <c r="E124">
        <v>3.1E-2</v>
      </c>
    </row>
    <row r="125" spans="1:5" ht="24" customHeight="1" x14ac:dyDescent="0.15">
      <c r="A125">
        <v>67967.55</v>
      </c>
      <c r="B125">
        <v>-2.5000000000000001E-2</v>
      </c>
      <c r="D125">
        <v>67967.55</v>
      </c>
      <c r="E125">
        <v>0</v>
      </c>
    </row>
    <row r="126" spans="1:5" ht="24" customHeight="1" x14ac:dyDescent="0.15">
      <c r="A126">
        <v>67989.509999999995</v>
      </c>
      <c r="B126">
        <v>-2.5000000000000001E-2</v>
      </c>
      <c r="D126">
        <v>67989.509999999995</v>
      </c>
      <c r="E126">
        <v>-2.5000000000000001E-2</v>
      </c>
    </row>
    <row r="127" spans="1:5" ht="24" customHeight="1" x14ac:dyDescent="0.15">
      <c r="A127">
        <v>67989.509999999995</v>
      </c>
      <c r="B127">
        <v>-2.5000000000000001E-2</v>
      </c>
      <c r="D127">
        <v>67989.509999999995</v>
      </c>
      <c r="E127">
        <v>-2.5000000000000001E-2</v>
      </c>
    </row>
    <row r="128" spans="1:5" ht="24" customHeight="1" x14ac:dyDescent="0.15">
      <c r="A128">
        <v>68080.72</v>
      </c>
      <c r="B128">
        <v>-2.5000000000000001E-2</v>
      </c>
      <c r="D128">
        <v>68080.72</v>
      </c>
      <c r="E128">
        <v>-2.5000000000000001E-2</v>
      </c>
    </row>
    <row r="129" spans="1:5" ht="24" customHeight="1" x14ac:dyDescent="0.15">
      <c r="A129">
        <v>68080.72</v>
      </c>
      <c r="B129">
        <v>-2.5000000000000001E-2</v>
      </c>
      <c r="D129">
        <v>68080.72</v>
      </c>
      <c r="E129">
        <v>-2.5000000000000001E-2</v>
      </c>
    </row>
    <row r="130" spans="1:5" ht="24" customHeight="1" x14ac:dyDescent="0.15">
      <c r="A130">
        <v>68102.679999999993</v>
      </c>
      <c r="B130">
        <v>0</v>
      </c>
      <c r="D130">
        <v>68102.679999999993</v>
      </c>
      <c r="E130">
        <v>-2.5000000000000001E-2</v>
      </c>
    </row>
    <row r="131" spans="1:5" ht="24" customHeight="1" x14ac:dyDescent="0.15">
      <c r="A131">
        <v>68140.45</v>
      </c>
      <c r="B131">
        <v>4.2999999999999997E-2</v>
      </c>
      <c r="D131">
        <v>68140.45</v>
      </c>
      <c r="E131">
        <v>-4.2999999999999997E-2</v>
      </c>
    </row>
    <row r="132" spans="1:5" ht="24" customHeight="1" x14ac:dyDescent="0.15">
      <c r="A132">
        <v>68379.8</v>
      </c>
      <c r="B132">
        <v>4.2999999999999997E-2</v>
      </c>
      <c r="D132">
        <v>68379.8</v>
      </c>
      <c r="E132">
        <v>-4.2999999999999997E-2</v>
      </c>
    </row>
    <row r="133" spans="1:5" ht="24" customHeight="1" x14ac:dyDescent="0.15">
      <c r="A133">
        <v>68417.570000000007</v>
      </c>
      <c r="B133">
        <v>0</v>
      </c>
      <c r="D133">
        <v>68417.570000000007</v>
      </c>
      <c r="E133">
        <v>-2.5000000000000001E-2</v>
      </c>
    </row>
    <row r="134" spans="1:5" ht="24" customHeight="1" x14ac:dyDescent="0.15">
      <c r="A134">
        <v>68439.53</v>
      </c>
      <c r="B134">
        <v>-2.5000000000000001E-2</v>
      </c>
      <c r="D134">
        <v>68439.53</v>
      </c>
      <c r="E134">
        <v>-2.5000000000000001E-2</v>
      </c>
    </row>
    <row r="135" spans="1:5" ht="24" customHeight="1" x14ac:dyDescent="0.15">
      <c r="A135">
        <v>68439.53</v>
      </c>
      <c r="B135">
        <v>-2.5000000000000001E-2</v>
      </c>
      <c r="D135">
        <v>68439.53</v>
      </c>
      <c r="E135">
        <v>-2.5000000000000001E-2</v>
      </c>
    </row>
    <row r="136" spans="1:5" ht="24" customHeight="1" x14ac:dyDescent="0.15">
      <c r="A136">
        <v>68940.67</v>
      </c>
      <c r="B136">
        <v>-2.5000000000000001E-2</v>
      </c>
      <c r="D136">
        <v>68940.67</v>
      </c>
      <c r="E136">
        <v>-2.5000000000000001E-2</v>
      </c>
    </row>
    <row r="137" spans="1:5" ht="24" customHeight="1" x14ac:dyDescent="0.15">
      <c r="A137">
        <v>68940.67</v>
      </c>
      <c r="B137">
        <v>-2.5000000000000001E-2</v>
      </c>
      <c r="D137">
        <v>68940.67</v>
      </c>
      <c r="E137">
        <v>-2.5000000000000001E-2</v>
      </c>
    </row>
    <row r="138" spans="1:5" ht="24" customHeight="1" x14ac:dyDescent="0.15">
      <c r="A138">
        <v>68962.63</v>
      </c>
      <c r="B138">
        <v>0</v>
      </c>
      <c r="D138">
        <v>68962.63</v>
      </c>
      <c r="E138">
        <v>-2.5000000000000001E-2</v>
      </c>
    </row>
    <row r="139" spans="1:5" ht="24" customHeight="1" x14ac:dyDescent="0.15">
      <c r="A139">
        <v>68984.59</v>
      </c>
      <c r="B139">
        <v>2.5000000000000001E-2</v>
      </c>
      <c r="D139">
        <v>68984.59</v>
      </c>
      <c r="E139">
        <v>-2.5000000000000001E-2</v>
      </c>
    </row>
    <row r="140" spans="1:5" ht="24" customHeight="1" x14ac:dyDescent="0.15">
      <c r="A140">
        <v>69237.97</v>
      </c>
      <c r="B140">
        <v>2.5000000000000001E-2</v>
      </c>
      <c r="D140">
        <v>69237.97</v>
      </c>
      <c r="E140">
        <v>-2.5000000000000001E-2</v>
      </c>
    </row>
    <row r="141" spans="1:5" ht="24" customHeight="1" x14ac:dyDescent="0.15">
      <c r="A141">
        <v>69259.929999999993</v>
      </c>
      <c r="B141">
        <v>0</v>
      </c>
      <c r="D141">
        <v>69259.929999999993</v>
      </c>
      <c r="E141">
        <v>-2.5000000000000001E-2</v>
      </c>
    </row>
    <row r="142" spans="1:5" ht="24" customHeight="1" x14ac:dyDescent="0.15">
      <c r="A142">
        <v>69281.89</v>
      </c>
      <c r="B142">
        <v>-2.5000000000000001E-2</v>
      </c>
      <c r="D142">
        <v>69281.89</v>
      </c>
      <c r="E142">
        <v>-2.5000000000000001E-2</v>
      </c>
    </row>
    <row r="143" spans="1:5" ht="24" customHeight="1" x14ac:dyDescent="0.15">
      <c r="A143">
        <v>69281.89</v>
      </c>
      <c r="B143">
        <v>-2.5000000000000001E-2</v>
      </c>
      <c r="D143">
        <v>69281.89</v>
      </c>
      <c r="E143">
        <v>-2.5000000000000001E-2</v>
      </c>
    </row>
    <row r="144" spans="1:5" ht="24" customHeight="1" x14ac:dyDescent="0.15">
      <c r="A144">
        <v>69427.929999999993</v>
      </c>
      <c r="B144">
        <v>-2.5000000000000001E-2</v>
      </c>
      <c r="D144">
        <v>69427.929999999993</v>
      </c>
      <c r="E144">
        <v>-2.5000000000000001E-2</v>
      </c>
    </row>
    <row r="145" spans="1:5" ht="24" customHeight="1" x14ac:dyDescent="0.15">
      <c r="A145">
        <v>69427.929999999993</v>
      </c>
      <c r="B145">
        <v>-2.5000000000000001E-2</v>
      </c>
      <c r="D145">
        <v>69427.929999999993</v>
      </c>
      <c r="E145">
        <v>-2.5000000000000001E-2</v>
      </c>
    </row>
    <row r="146" spans="1:5" ht="24" customHeight="1" x14ac:dyDescent="0.15">
      <c r="A146">
        <v>69449.89</v>
      </c>
      <c r="B146">
        <v>-2.5000000000000001E-2</v>
      </c>
      <c r="D146">
        <v>69449.89</v>
      </c>
      <c r="E146">
        <v>0</v>
      </c>
    </row>
    <row r="147" spans="1:5" ht="24" customHeight="1" x14ac:dyDescent="0.15">
      <c r="A147">
        <v>69492.05</v>
      </c>
      <c r="B147">
        <v>-4.8000000000000001E-2</v>
      </c>
      <c r="D147">
        <v>69492.05</v>
      </c>
      <c r="E147">
        <v>4.8000000000000001E-2</v>
      </c>
    </row>
    <row r="148" spans="1:5" ht="24" customHeight="1" x14ac:dyDescent="0.15">
      <c r="A148">
        <v>69503.03</v>
      </c>
      <c r="B148">
        <v>-4.8000000000000001E-2</v>
      </c>
      <c r="D148">
        <v>69503.03</v>
      </c>
      <c r="E148">
        <v>4.8000000000000001E-2</v>
      </c>
    </row>
    <row r="149" spans="1:5" ht="24" customHeight="1" x14ac:dyDescent="0.15">
      <c r="A149">
        <v>69545.19</v>
      </c>
      <c r="B149">
        <v>-2.5000000000000001E-2</v>
      </c>
      <c r="D149">
        <v>69545.19</v>
      </c>
      <c r="E149">
        <v>0</v>
      </c>
    </row>
    <row r="150" spans="1:5" ht="24" customHeight="1" x14ac:dyDescent="0.15">
      <c r="A150">
        <v>69567.149999999994</v>
      </c>
      <c r="B150">
        <v>-2.5000000000000001E-2</v>
      </c>
      <c r="D150">
        <v>69567.149999999994</v>
      </c>
      <c r="E150">
        <v>-2.5000000000000001E-2</v>
      </c>
    </row>
    <row r="151" spans="1:5" ht="24" customHeight="1" x14ac:dyDescent="0.15">
      <c r="A151">
        <v>69567.149999999994</v>
      </c>
      <c r="B151">
        <v>-2.5000000000000001E-2</v>
      </c>
      <c r="D151">
        <v>69567.149999999994</v>
      </c>
      <c r="E151">
        <v>-2.5000000000000001E-2</v>
      </c>
    </row>
    <row r="152" spans="1:5" ht="24" customHeight="1" x14ac:dyDescent="0.15">
      <c r="A152">
        <v>70388.84</v>
      </c>
      <c r="B152">
        <v>-2.5000000000000001E-2</v>
      </c>
      <c r="D152">
        <v>70388.84</v>
      </c>
      <c r="E152">
        <v>-2.5000000000000001E-2</v>
      </c>
    </row>
    <row r="153" spans="1:5" ht="24" customHeight="1" x14ac:dyDescent="0.15">
      <c r="A153">
        <v>70388.84</v>
      </c>
      <c r="B153">
        <v>-2.5000000000000001E-2</v>
      </c>
      <c r="D153">
        <v>70388.84</v>
      </c>
      <c r="E153">
        <v>-2.5000000000000001E-2</v>
      </c>
    </row>
    <row r="154" spans="1:5" ht="24" customHeight="1" x14ac:dyDescent="0.15">
      <c r="A154">
        <v>70410.8</v>
      </c>
      <c r="B154">
        <v>0</v>
      </c>
      <c r="D154">
        <v>70410.8</v>
      </c>
      <c r="E154">
        <v>-2.5000000000000001E-2</v>
      </c>
    </row>
    <row r="155" spans="1:5" ht="24" customHeight="1" x14ac:dyDescent="0.15">
      <c r="A155">
        <v>70452.960000000006</v>
      </c>
      <c r="B155">
        <v>4.8000000000000001E-2</v>
      </c>
      <c r="D155">
        <v>70452.960000000006</v>
      </c>
      <c r="E155">
        <v>-4.8000000000000001E-2</v>
      </c>
    </row>
    <row r="156" spans="1:5" ht="24" customHeight="1" x14ac:dyDescent="0.15">
      <c r="A156">
        <v>70503.070000000007</v>
      </c>
      <c r="B156">
        <v>4.8000000000000001E-2</v>
      </c>
      <c r="D156">
        <v>70503.070000000007</v>
      </c>
      <c r="E156">
        <v>-4.8000000000000001E-2</v>
      </c>
    </row>
    <row r="157" spans="1:5" ht="24" customHeight="1" x14ac:dyDescent="0.15">
      <c r="A157">
        <v>70545.23</v>
      </c>
      <c r="B157">
        <v>0</v>
      </c>
      <c r="D157">
        <v>70545.23</v>
      </c>
      <c r="E157">
        <v>-2.5000000000000001E-2</v>
      </c>
    </row>
    <row r="158" spans="1:5" ht="24" customHeight="1" x14ac:dyDescent="0.15">
      <c r="A158">
        <v>70567.19</v>
      </c>
      <c r="B158">
        <v>-2.5000000000000001E-2</v>
      </c>
      <c r="D158">
        <v>70567.19</v>
      </c>
      <c r="E158">
        <v>-2.5000000000000001E-2</v>
      </c>
    </row>
    <row r="159" spans="1:5" ht="24" customHeight="1" x14ac:dyDescent="0.15">
      <c r="A159">
        <v>70567.19</v>
      </c>
      <c r="B159">
        <v>-2.5000000000000001E-2</v>
      </c>
      <c r="D159">
        <v>70567.19</v>
      </c>
      <c r="E159">
        <v>-2.5000000000000001E-2</v>
      </c>
    </row>
    <row r="160" spans="1:5" ht="24" customHeight="1" x14ac:dyDescent="0.15">
      <c r="A160">
        <v>70661.88</v>
      </c>
      <c r="B160">
        <v>-2.5000000000000001E-2</v>
      </c>
      <c r="D160">
        <v>70661.88</v>
      </c>
      <c r="E160">
        <v>-2.5000000000000001E-2</v>
      </c>
    </row>
    <row r="161" spans="1:5" ht="24" customHeight="1" x14ac:dyDescent="0.15">
      <c r="A161">
        <v>70661.88</v>
      </c>
      <c r="B161">
        <v>-2.5000000000000001E-2</v>
      </c>
      <c r="D161">
        <v>70661.88</v>
      </c>
      <c r="E161">
        <v>-2.5000000000000001E-2</v>
      </c>
    </row>
    <row r="162" spans="1:5" ht="24" customHeight="1" x14ac:dyDescent="0.15">
      <c r="A162">
        <v>70683.839999999997</v>
      </c>
      <c r="B162">
        <v>-2.5000000000000001E-2</v>
      </c>
      <c r="D162">
        <v>70683.839999999997</v>
      </c>
      <c r="E162">
        <v>0</v>
      </c>
    </row>
    <row r="163" spans="1:5" ht="24" customHeight="1" x14ac:dyDescent="0.15">
      <c r="A163">
        <v>70715.460000000006</v>
      </c>
      <c r="B163">
        <v>-3.5999999999999997E-2</v>
      </c>
      <c r="D163">
        <v>70715.460000000006</v>
      </c>
      <c r="E163">
        <v>3.5999999999999997E-2</v>
      </c>
    </row>
    <row r="164" spans="1:5" ht="24" customHeight="1" x14ac:dyDescent="0.15">
      <c r="A164">
        <v>70770.02</v>
      </c>
      <c r="B164">
        <v>-3.5999999999999997E-2</v>
      </c>
      <c r="D164">
        <v>70770.02</v>
      </c>
      <c r="E164">
        <v>3.5999999999999997E-2</v>
      </c>
    </row>
    <row r="165" spans="1:5" ht="24" customHeight="1" x14ac:dyDescent="0.15">
      <c r="A165">
        <v>70801.64</v>
      </c>
      <c r="B165">
        <v>-2.5000000000000001E-2</v>
      </c>
      <c r="D165">
        <v>70801.64</v>
      </c>
      <c r="E165">
        <v>0</v>
      </c>
    </row>
    <row r="166" spans="1:5" ht="24" customHeight="1" x14ac:dyDescent="0.15">
      <c r="A166">
        <v>70823.600000000006</v>
      </c>
      <c r="B166">
        <v>-2.5000000000000001E-2</v>
      </c>
      <c r="D166">
        <v>70823.600000000006</v>
      </c>
      <c r="E166">
        <v>-2.5000000000000001E-2</v>
      </c>
    </row>
    <row r="167" spans="1:5" ht="24" customHeight="1" x14ac:dyDescent="0.15">
      <c r="A167">
        <v>70823.600000000006</v>
      </c>
      <c r="B167">
        <v>-2.5000000000000001E-2</v>
      </c>
      <c r="D167">
        <v>70823.600000000006</v>
      </c>
      <c r="E167">
        <v>-2.5000000000000001E-2</v>
      </c>
    </row>
    <row r="168" spans="1:5" ht="24" customHeight="1" x14ac:dyDescent="0.15">
      <c r="A168">
        <v>80727.679999999993</v>
      </c>
      <c r="B168">
        <v>-2.5000000000000001E-2</v>
      </c>
      <c r="D168">
        <v>80727.679999999993</v>
      </c>
      <c r="E168">
        <v>-2.5000000000000001E-2</v>
      </c>
    </row>
    <row r="169" spans="1:5" ht="24" customHeight="1" x14ac:dyDescent="0.15">
      <c r="A169">
        <v>80727.679999999993</v>
      </c>
      <c r="B169">
        <v>-2.5000000000000001E-2</v>
      </c>
      <c r="D169">
        <v>80727.679999999993</v>
      </c>
      <c r="E169">
        <v>-2.5000000000000001E-2</v>
      </c>
    </row>
    <row r="170" spans="1:5" ht="24" customHeight="1" x14ac:dyDescent="0.15">
      <c r="A170">
        <v>80749.64</v>
      </c>
      <c r="B170">
        <v>0</v>
      </c>
      <c r="D170">
        <v>80749.64</v>
      </c>
      <c r="E170">
        <v>-2.5000000000000001E-2</v>
      </c>
    </row>
    <row r="171" spans="1:5" ht="24" customHeight="1" x14ac:dyDescent="0.15">
      <c r="A171">
        <v>80771.600000000006</v>
      </c>
      <c r="B171">
        <v>2.5000000000000001E-2</v>
      </c>
      <c r="D171">
        <v>80771.600000000006</v>
      </c>
      <c r="E171">
        <v>-2.5000000000000001E-2</v>
      </c>
    </row>
    <row r="172" spans="1:5" ht="24" customHeight="1" x14ac:dyDescent="0.15">
      <c r="A172">
        <v>81008.399999999994</v>
      </c>
      <c r="B172">
        <v>2.5000000000000001E-2</v>
      </c>
      <c r="D172">
        <v>81008.399999999994</v>
      </c>
      <c r="E172">
        <v>-2.5000000000000001E-2</v>
      </c>
    </row>
    <row r="173" spans="1:5" ht="24" customHeight="1" x14ac:dyDescent="0.15">
      <c r="A173">
        <v>81030.36</v>
      </c>
      <c r="B173">
        <v>0</v>
      </c>
      <c r="D173">
        <v>81030.36</v>
      </c>
      <c r="E173">
        <v>-2.5000000000000001E-2</v>
      </c>
    </row>
    <row r="174" spans="1:5" ht="24" customHeight="1" x14ac:dyDescent="0.15">
      <c r="A174">
        <v>81052.320000000007</v>
      </c>
      <c r="B174">
        <v>-2.5000000000000001E-2</v>
      </c>
      <c r="D174">
        <v>81052.320000000007</v>
      </c>
      <c r="E174">
        <v>-2.5000000000000001E-2</v>
      </c>
    </row>
    <row r="175" spans="1:5" ht="24" customHeight="1" x14ac:dyDescent="0.15">
      <c r="A175">
        <v>81052.320000000007</v>
      </c>
      <c r="B175">
        <v>-2.5000000000000001E-2</v>
      </c>
      <c r="D175">
        <v>81052.320000000007</v>
      </c>
      <c r="E175">
        <v>-2.5000000000000001E-2</v>
      </c>
    </row>
    <row r="176" spans="1:5" ht="24" customHeight="1" x14ac:dyDescent="0.15">
      <c r="A176">
        <v>83776.19</v>
      </c>
      <c r="B176">
        <v>-2.5000000000000001E-2</v>
      </c>
      <c r="D176">
        <v>83776.19</v>
      </c>
      <c r="E176">
        <v>-2.5000000000000001E-2</v>
      </c>
    </row>
    <row r="177" spans="1:5" ht="24" customHeight="1" x14ac:dyDescent="0.15">
      <c r="A177">
        <v>83776.19</v>
      </c>
      <c r="B177">
        <v>-2.5000000000000001E-2</v>
      </c>
      <c r="D177">
        <v>83776.19</v>
      </c>
      <c r="E177">
        <v>-2.5000000000000001E-2</v>
      </c>
    </row>
    <row r="178" spans="1:5" ht="24" customHeight="1" x14ac:dyDescent="0.15">
      <c r="A178">
        <v>83798.149999999994</v>
      </c>
      <c r="B178">
        <v>-2.5000000000000001E-2</v>
      </c>
      <c r="D178">
        <v>83798.149999999994</v>
      </c>
      <c r="E178">
        <v>0</v>
      </c>
    </row>
    <row r="179" spans="1:5" ht="24" customHeight="1" x14ac:dyDescent="0.15">
      <c r="A179">
        <v>83849.97</v>
      </c>
      <c r="B179">
        <v>-5.8999999999999997E-2</v>
      </c>
      <c r="D179">
        <v>83849.97</v>
      </c>
      <c r="E179">
        <v>5.8999999999999997E-2</v>
      </c>
    </row>
    <row r="180" spans="1:5" ht="24" customHeight="1" x14ac:dyDescent="0.15">
      <c r="A180">
        <v>83919.35</v>
      </c>
      <c r="B180">
        <v>-5.8999999999999997E-2</v>
      </c>
      <c r="D180">
        <v>83919.35</v>
      </c>
      <c r="E180">
        <v>5.8999999999999997E-2</v>
      </c>
    </row>
    <row r="181" spans="1:5" ht="24" customHeight="1" x14ac:dyDescent="0.15">
      <c r="A181">
        <v>83971.17</v>
      </c>
      <c r="B181">
        <v>-2.5000000000000001E-2</v>
      </c>
      <c r="D181">
        <v>83971.17</v>
      </c>
      <c r="E181">
        <v>0</v>
      </c>
    </row>
    <row r="182" spans="1:5" ht="24" customHeight="1" x14ac:dyDescent="0.15">
      <c r="A182">
        <v>83993.12</v>
      </c>
      <c r="B182">
        <v>-2.5000000000000001E-2</v>
      </c>
      <c r="D182">
        <v>83993.12</v>
      </c>
      <c r="E182">
        <v>-2.5000000000000001E-2</v>
      </c>
    </row>
    <row r="183" spans="1:5" ht="24" customHeight="1" x14ac:dyDescent="0.15">
      <c r="A183">
        <v>83993.12</v>
      </c>
      <c r="B183">
        <v>-2.5000000000000001E-2</v>
      </c>
      <c r="D183">
        <v>83993.12</v>
      </c>
      <c r="E183">
        <v>-2.5000000000000001E-2</v>
      </c>
    </row>
    <row r="184" spans="1:5" ht="24" customHeight="1" x14ac:dyDescent="0.15">
      <c r="A184">
        <v>89382.94</v>
      </c>
      <c r="B184">
        <v>-2.5000000000000001E-2</v>
      </c>
      <c r="D184">
        <v>89382.94</v>
      </c>
      <c r="E184">
        <v>-2.5000000000000001E-2</v>
      </c>
    </row>
    <row r="185" spans="1:5" ht="24" customHeight="1" x14ac:dyDescent="0.15">
      <c r="A185">
        <v>89382.94</v>
      </c>
      <c r="B185">
        <v>-2.5000000000000001E-2</v>
      </c>
      <c r="D185">
        <v>89382.94</v>
      </c>
      <c r="E185">
        <v>-2.5000000000000001E-2</v>
      </c>
    </row>
    <row r="186" spans="1:5" ht="24" customHeight="1" x14ac:dyDescent="0.15">
      <c r="A186">
        <v>89404.9</v>
      </c>
      <c r="B186">
        <v>0</v>
      </c>
      <c r="D186">
        <v>89404.9</v>
      </c>
      <c r="E186">
        <v>-2.5000000000000001E-2</v>
      </c>
    </row>
    <row r="187" spans="1:5" ht="24" customHeight="1" x14ac:dyDescent="0.15">
      <c r="A187">
        <v>89451.45</v>
      </c>
      <c r="B187">
        <v>5.2999999999999999E-2</v>
      </c>
      <c r="D187">
        <v>89451.45</v>
      </c>
      <c r="E187">
        <v>-5.2999999999999999E-2</v>
      </c>
    </row>
    <row r="188" spans="1:5" ht="24" customHeight="1" x14ac:dyDescent="0.15">
      <c r="A188">
        <v>89538.01</v>
      </c>
      <c r="B188">
        <v>5.2999999999999999E-2</v>
      </c>
      <c r="D188">
        <v>89538.01</v>
      </c>
      <c r="E188">
        <v>-5.2999999999999999E-2</v>
      </c>
    </row>
    <row r="189" spans="1:5" ht="24" customHeight="1" x14ac:dyDescent="0.15">
      <c r="A189">
        <v>89584.56</v>
      </c>
      <c r="B189">
        <v>0</v>
      </c>
      <c r="D189">
        <v>89584.56</v>
      </c>
      <c r="E189">
        <v>-2.5000000000000001E-2</v>
      </c>
    </row>
    <row r="190" spans="1:5" ht="24" customHeight="1" x14ac:dyDescent="0.15">
      <c r="A190">
        <v>89606.52</v>
      </c>
      <c r="B190">
        <v>-2.5000000000000001E-2</v>
      </c>
      <c r="D190">
        <v>89606.52</v>
      </c>
      <c r="E190">
        <v>-2.5000000000000001E-2</v>
      </c>
    </row>
    <row r="191" spans="1:5" ht="24" customHeight="1" x14ac:dyDescent="0.15">
      <c r="A191">
        <v>89606.52</v>
      </c>
      <c r="B191">
        <v>-2.5000000000000001E-2</v>
      </c>
      <c r="D191">
        <v>89606.52</v>
      </c>
      <c r="E191">
        <v>-2.5000000000000001E-2</v>
      </c>
    </row>
    <row r="192" spans="1:5" ht="24" customHeight="1" x14ac:dyDescent="0.15">
      <c r="A192">
        <v>89693.61</v>
      </c>
      <c r="B192">
        <v>-2.5000000000000001E-2</v>
      </c>
      <c r="D192">
        <v>89693.61</v>
      </c>
      <c r="E192">
        <v>-2.5000000000000001E-2</v>
      </c>
    </row>
    <row r="193" spans="1:5" ht="24" customHeight="1" x14ac:dyDescent="0.15">
      <c r="A193">
        <v>89693.61</v>
      </c>
      <c r="B193">
        <v>-2.5000000000000001E-2</v>
      </c>
      <c r="D193">
        <v>89693.61</v>
      </c>
      <c r="E193">
        <v>-2.5000000000000001E-2</v>
      </c>
    </row>
    <row r="194" spans="1:5" ht="24" customHeight="1" x14ac:dyDescent="0.15">
      <c r="A194">
        <v>89715.57</v>
      </c>
      <c r="B194">
        <v>-2.5000000000000001E-2</v>
      </c>
      <c r="D194">
        <v>89715.57</v>
      </c>
      <c r="E194">
        <v>0</v>
      </c>
    </row>
    <row r="195" spans="1:5" ht="24" customHeight="1" x14ac:dyDescent="0.15">
      <c r="A195">
        <v>89762.12</v>
      </c>
      <c r="B195">
        <v>-5.2999999999999999E-2</v>
      </c>
      <c r="D195">
        <v>89762.12</v>
      </c>
      <c r="E195">
        <v>5.2999999999999999E-2</v>
      </c>
    </row>
    <row r="196" spans="1:5" ht="24" customHeight="1" x14ac:dyDescent="0.15">
      <c r="A196">
        <v>89830.39</v>
      </c>
      <c r="B196">
        <v>-5.2999999999999999E-2</v>
      </c>
      <c r="D196">
        <v>89830.39</v>
      </c>
      <c r="E196">
        <v>5.2999999999999999E-2</v>
      </c>
    </row>
    <row r="197" spans="1:5" ht="24" customHeight="1" x14ac:dyDescent="0.15">
      <c r="A197">
        <v>89876.94</v>
      </c>
      <c r="B197">
        <v>-2.5000000000000001E-2</v>
      </c>
      <c r="D197">
        <v>89876.94</v>
      </c>
      <c r="E197">
        <v>0</v>
      </c>
    </row>
    <row r="198" spans="1:5" ht="24" customHeight="1" x14ac:dyDescent="0.15">
      <c r="A198">
        <v>89898.89</v>
      </c>
      <c r="B198">
        <v>-2.5000000000000001E-2</v>
      </c>
      <c r="D198">
        <v>89898.89</v>
      </c>
      <c r="E198">
        <v>-2.5000000000000001E-2</v>
      </c>
    </row>
    <row r="199" spans="1:5" ht="24" customHeight="1" x14ac:dyDescent="0.15">
      <c r="A199">
        <v>89898.89</v>
      </c>
      <c r="B199">
        <v>-2.5000000000000001E-2</v>
      </c>
      <c r="D199">
        <v>89898.89</v>
      </c>
      <c r="E199">
        <v>-2.5000000000000001E-2</v>
      </c>
    </row>
    <row r="200" spans="1:5" ht="24" customHeight="1" x14ac:dyDescent="0.15">
      <c r="A200">
        <v>89922.17</v>
      </c>
      <c r="B200">
        <v>-2.5000000000000001E-2</v>
      </c>
      <c r="D200">
        <v>89922.17</v>
      </c>
      <c r="E200">
        <v>-2.5000000000000001E-2</v>
      </c>
    </row>
    <row r="201" spans="1:5" ht="24" customHeight="1" x14ac:dyDescent="0.15">
      <c r="A201">
        <v>89922.17</v>
      </c>
      <c r="B201">
        <v>-2.5000000000000001E-2</v>
      </c>
      <c r="D201">
        <v>89922.17</v>
      </c>
      <c r="E201">
        <v>-2.5000000000000001E-2</v>
      </c>
    </row>
    <row r="202" spans="1:5" ht="24" customHeight="1" x14ac:dyDescent="0.15">
      <c r="A202">
        <v>89944.13</v>
      </c>
      <c r="B202">
        <v>0</v>
      </c>
      <c r="D202">
        <v>89944.13</v>
      </c>
      <c r="E202">
        <v>-2.5000000000000001E-2</v>
      </c>
    </row>
    <row r="203" spans="1:5" ht="24" customHeight="1" x14ac:dyDescent="0.15">
      <c r="A203">
        <v>89995.95</v>
      </c>
      <c r="B203">
        <v>5.8999999999999997E-2</v>
      </c>
      <c r="D203">
        <v>89995.95</v>
      </c>
      <c r="E203">
        <v>-5.8999999999999997E-2</v>
      </c>
    </row>
    <row r="204" spans="1:5" ht="24" customHeight="1" x14ac:dyDescent="0.15">
      <c r="A204">
        <v>90043.54</v>
      </c>
      <c r="B204">
        <v>5.8999999999999997E-2</v>
      </c>
      <c r="D204">
        <v>90043.54</v>
      </c>
      <c r="E204">
        <v>-5.8999999999999997E-2</v>
      </c>
    </row>
    <row r="205" spans="1:5" ht="24" customHeight="1" x14ac:dyDescent="0.15">
      <c r="A205">
        <v>90095.360000000001</v>
      </c>
      <c r="B205">
        <v>0</v>
      </c>
      <c r="D205">
        <v>90095.360000000001</v>
      </c>
      <c r="E205">
        <v>-2.5000000000000001E-2</v>
      </c>
    </row>
    <row r="206" spans="1:5" ht="24" customHeight="1" x14ac:dyDescent="0.15">
      <c r="A206">
        <v>90117.32</v>
      </c>
      <c r="B206">
        <v>-2.5000000000000001E-2</v>
      </c>
      <c r="D206">
        <v>90117.32</v>
      </c>
      <c r="E206">
        <v>-2.5000000000000001E-2</v>
      </c>
    </row>
    <row r="207" spans="1:5" ht="24" customHeight="1" x14ac:dyDescent="0.15">
      <c r="A207">
        <v>90117.32</v>
      </c>
      <c r="B207">
        <v>-2.5000000000000001E-2</v>
      </c>
      <c r="D207">
        <v>90117.32</v>
      </c>
      <c r="E207">
        <v>-2.5000000000000001E-2</v>
      </c>
    </row>
    <row r="208" spans="1:5" ht="24" customHeight="1" x14ac:dyDescent="0.15">
      <c r="A208">
        <v>97450.93</v>
      </c>
      <c r="B208">
        <v>-2.5000000000000001E-2</v>
      </c>
      <c r="D208">
        <v>97450.93</v>
      </c>
      <c r="E208">
        <v>-2.5000000000000001E-2</v>
      </c>
    </row>
    <row r="209" spans="1:5" ht="24" customHeight="1" x14ac:dyDescent="0.15">
      <c r="A209">
        <v>97450.93</v>
      </c>
      <c r="B209">
        <v>-2.5000000000000001E-2</v>
      </c>
      <c r="D209">
        <v>97450.93</v>
      </c>
      <c r="E209">
        <v>-2.5000000000000001E-2</v>
      </c>
    </row>
    <row r="210" spans="1:5" ht="24" customHeight="1" x14ac:dyDescent="0.15">
      <c r="A210">
        <v>97472.89</v>
      </c>
      <c r="B210">
        <v>-2.5000000000000001E-2</v>
      </c>
      <c r="D210">
        <v>97472.89</v>
      </c>
      <c r="E210">
        <v>0</v>
      </c>
    </row>
    <row r="211" spans="1:5" ht="24" customHeight="1" x14ac:dyDescent="0.15">
      <c r="A211">
        <v>97524.71</v>
      </c>
      <c r="B211">
        <v>-5.8999999999999997E-2</v>
      </c>
      <c r="D211">
        <v>97524.71</v>
      </c>
      <c r="E211">
        <v>5.8999999999999997E-2</v>
      </c>
    </row>
    <row r="212" spans="1:5" ht="24" customHeight="1" x14ac:dyDescent="0.15">
      <c r="A212">
        <v>97692.61</v>
      </c>
      <c r="B212">
        <v>-5.8999999999999997E-2</v>
      </c>
      <c r="D212">
        <v>97692.61</v>
      </c>
      <c r="E212">
        <v>5.8999999999999997E-2</v>
      </c>
    </row>
    <row r="213" spans="1:5" ht="24" customHeight="1" x14ac:dyDescent="0.15">
      <c r="A213">
        <v>97744.43</v>
      </c>
      <c r="B213">
        <v>-2.5000000000000001E-2</v>
      </c>
      <c r="D213">
        <v>97744.43</v>
      </c>
      <c r="E213">
        <v>0</v>
      </c>
    </row>
    <row r="214" spans="1:5" ht="24" customHeight="1" x14ac:dyDescent="0.15">
      <c r="A214">
        <v>97766.39</v>
      </c>
      <c r="B214">
        <v>-2.5000000000000001E-2</v>
      </c>
      <c r="D214">
        <v>97766.39</v>
      </c>
      <c r="E214">
        <v>-2.5000000000000001E-2</v>
      </c>
    </row>
    <row r="215" spans="1:5" ht="24" customHeight="1" x14ac:dyDescent="0.15">
      <c r="A215">
        <v>97766.39</v>
      </c>
      <c r="B215">
        <v>-2.5000000000000001E-2</v>
      </c>
      <c r="D215">
        <v>97766.39</v>
      </c>
      <c r="E215">
        <v>-2.5000000000000001E-2</v>
      </c>
    </row>
    <row r="216" spans="1:5" ht="24" customHeight="1" x14ac:dyDescent="0.15">
      <c r="A216">
        <v>99405.87</v>
      </c>
      <c r="B216">
        <v>-2.5000000000000001E-2</v>
      </c>
      <c r="D216">
        <v>99405.87</v>
      </c>
      <c r="E216">
        <v>-2.5000000000000001E-2</v>
      </c>
    </row>
    <row r="217" spans="1:5" ht="24" customHeight="1" x14ac:dyDescent="0.15">
      <c r="A217">
        <v>99405.87</v>
      </c>
      <c r="B217">
        <v>-2.5000000000000001E-2</v>
      </c>
      <c r="D217">
        <v>99405.87</v>
      </c>
      <c r="E217">
        <v>-2.5000000000000001E-2</v>
      </c>
    </row>
    <row r="218" spans="1:5" ht="24" customHeight="1" x14ac:dyDescent="0.15">
      <c r="A218">
        <v>99427.83</v>
      </c>
      <c r="B218">
        <v>0</v>
      </c>
      <c r="D218">
        <v>99427.83</v>
      </c>
      <c r="E218">
        <v>-2.5000000000000001E-2</v>
      </c>
    </row>
    <row r="219" spans="1:5" ht="24" customHeight="1" x14ac:dyDescent="0.15">
      <c r="A219">
        <v>99462.97</v>
      </c>
      <c r="B219">
        <v>0.04</v>
      </c>
      <c r="D219">
        <v>99462.97</v>
      </c>
      <c r="E219">
        <v>-0.04</v>
      </c>
    </row>
    <row r="220" spans="1:5" ht="24" customHeight="1" x14ac:dyDescent="0.15">
      <c r="A220">
        <v>99619.42</v>
      </c>
      <c r="B220">
        <v>0.04</v>
      </c>
      <c r="D220">
        <v>99619.42</v>
      </c>
      <c r="E220">
        <v>-0.04</v>
      </c>
    </row>
    <row r="221" spans="1:5" ht="24" customHeight="1" x14ac:dyDescent="0.15">
      <c r="A221">
        <v>99654.56</v>
      </c>
      <c r="B221">
        <v>0</v>
      </c>
      <c r="D221">
        <v>99654.56</v>
      </c>
      <c r="E221">
        <v>-2.5000000000000001E-2</v>
      </c>
    </row>
    <row r="222" spans="1:5" ht="24" customHeight="1" x14ac:dyDescent="0.15">
      <c r="A222">
        <v>99676.52</v>
      </c>
      <c r="B222">
        <v>-2.5000000000000001E-2</v>
      </c>
      <c r="D222">
        <v>99676.52</v>
      </c>
      <c r="E222">
        <v>-2.5000000000000001E-2</v>
      </c>
    </row>
    <row r="223" spans="1:5" ht="24" customHeight="1" x14ac:dyDescent="0.15">
      <c r="A223">
        <v>99676.52</v>
      </c>
      <c r="B223">
        <v>-2.5000000000000001E-2</v>
      </c>
      <c r="D223">
        <v>99676.52</v>
      </c>
      <c r="E223">
        <v>-2.5000000000000001E-2</v>
      </c>
    </row>
    <row r="224" spans="1:5" ht="24" customHeight="1" x14ac:dyDescent="0.15">
      <c r="A224">
        <v>100752.3</v>
      </c>
      <c r="B224">
        <v>-2.5000000000000001E-2</v>
      </c>
      <c r="D224">
        <v>100752.3</v>
      </c>
      <c r="E224">
        <v>-2.5000000000000001E-2</v>
      </c>
    </row>
    <row r="225" spans="1:5" ht="24" customHeight="1" x14ac:dyDescent="0.15">
      <c r="A225">
        <v>100752.3</v>
      </c>
      <c r="B225">
        <v>-2.5000000000000001E-2</v>
      </c>
      <c r="D225">
        <v>100752.3</v>
      </c>
      <c r="E225">
        <v>-2.5000000000000001E-2</v>
      </c>
    </row>
    <row r="226" spans="1:5" ht="24" customHeight="1" x14ac:dyDescent="0.15">
      <c r="A226">
        <v>100774.25</v>
      </c>
      <c r="B226">
        <v>0</v>
      </c>
      <c r="D226">
        <v>100774.25</v>
      </c>
      <c r="E226">
        <v>-2.5000000000000001E-2</v>
      </c>
    </row>
    <row r="227" spans="1:5" ht="24" customHeight="1" x14ac:dyDescent="0.15">
      <c r="A227">
        <v>100805.87</v>
      </c>
      <c r="B227">
        <v>3.5999999999999997E-2</v>
      </c>
      <c r="D227">
        <v>100805.87</v>
      </c>
      <c r="E227">
        <v>-3.5999999999999997E-2</v>
      </c>
    </row>
    <row r="228" spans="1:5" ht="24" customHeight="1" x14ac:dyDescent="0.15">
      <c r="A228">
        <v>100905.78</v>
      </c>
      <c r="B228">
        <v>3.5999999999999997E-2</v>
      </c>
      <c r="D228">
        <v>100905.78</v>
      </c>
      <c r="E228">
        <v>-3.5999999999999997E-2</v>
      </c>
    </row>
    <row r="229" spans="1:5" ht="24" customHeight="1" x14ac:dyDescent="0.15">
      <c r="A229">
        <v>100937.4</v>
      </c>
      <c r="B229">
        <v>0</v>
      </c>
      <c r="D229">
        <v>100937.4</v>
      </c>
      <c r="E229">
        <v>-2.5000000000000001E-2</v>
      </c>
    </row>
    <row r="230" spans="1:5" ht="24" customHeight="1" x14ac:dyDescent="0.15">
      <c r="A230">
        <v>100959.36</v>
      </c>
      <c r="B230">
        <v>-2.5000000000000001E-2</v>
      </c>
      <c r="D230">
        <v>100959.36</v>
      </c>
      <c r="E230">
        <v>-2.5000000000000001E-2</v>
      </c>
    </row>
    <row r="231" spans="1:5" ht="24" customHeight="1" x14ac:dyDescent="0.15">
      <c r="A231">
        <v>100959.36</v>
      </c>
      <c r="B231">
        <v>-2.5000000000000001E-2</v>
      </c>
      <c r="D231">
        <v>100959.36</v>
      </c>
      <c r="E231">
        <v>-2.5000000000000001E-2</v>
      </c>
    </row>
    <row r="232" spans="1:5" ht="24" customHeight="1" x14ac:dyDescent="0.15">
      <c r="A232">
        <v>105108.72</v>
      </c>
      <c r="B232">
        <v>-2.5000000000000001E-2</v>
      </c>
      <c r="D232">
        <v>105108.72</v>
      </c>
      <c r="E232">
        <v>-2.5000000000000001E-2</v>
      </c>
    </row>
    <row r="233" spans="1:5" ht="24" customHeight="1" x14ac:dyDescent="0.15">
      <c r="A233">
        <v>105108.72</v>
      </c>
      <c r="B233">
        <v>-2.5000000000000001E-2</v>
      </c>
      <c r="D233">
        <v>105108.72</v>
      </c>
      <c r="E233">
        <v>-2.5000000000000001E-2</v>
      </c>
    </row>
    <row r="234" spans="1:5" ht="24" customHeight="1" x14ac:dyDescent="0.15">
      <c r="A234">
        <v>105130.68</v>
      </c>
      <c r="B234">
        <v>-2.5000000000000001E-2</v>
      </c>
      <c r="D234">
        <v>105130.68</v>
      </c>
      <c r="E234">
        <v>0</v>
      </c>
    </row>
    <row r="235" spans="1:5" ht="24" customHeight="1" x14ac:dyDescent="0.15">
      <c r="A235">
        <v>105172.84</v>
      </c>
      <c r="B235">
        <v>-4.8000000000000001E-2</v>
      </c>
      <c r="D235">
        <v>105172.84</v>
      </c>
      <c r="E235">
        <v>4.8000000000000001E-2</v>
      </c>
    </row>
    <row r="236" spans="1:5" ht="24" customHeight="1" x14ac:dyDescent="0.15">
      <c r="A236">
        <v>105319.29</v>
      </c>
      <c r="B236">
        <v>-4.8000000000000001E-2</v>
      </c>
      <c r="D236">
        <v>105319.29</v>
      </c>
      <c r="E236">
        <v>4.8000000000000001E-2</v>
      </c>
    </row>
    <row r="237" spans="1:5" ht="24" customHeight="1" x14ac:dyDescent="0.15">
      <c r="A237">
        <v>105361.45</v>
      </c>
      <c r="B237">
        <v>-2.5000000000000001E-2</v>
      </c>
      <c r="D237">
        <v>105361.45</v>
      </c>
      <c r="E237">
        <v>0</v>
      </c>
    </row>
    <row r="238" spans="1:5" ht="24" customHeight="1" x14ac:dyDescent="0.15">
      <c r="A238">
        <v>105383.41</v>
      </c>
      <c r="B238">
        <v>-2.5000000000000001E-2</v>
      </c>
      <c r="D238">
        <v>105383.41</v>
      </c>
      <c r="E238">
        <v>-2.5000000000000001E-2</v>
      </c>
    </row>
    <row r="239" spans="1:5" ht="24" customHeight="1" x14ac:dyDescent="0.15">
      <c r="A239">
        <v>105383.41</v>
      </c>
      <c r="B239">
        <v>-2.5000000000000001E-2</v>
      </c>
      <c r="D239">
        <v>105383.41</v>
      </c>
      <c r="E239">
        <v>-2.5000000000000001E-2</v>
      </c>
    </row>
    <row r="240" spans="1:5" ht="24" customHeight="1" x14ac:dyDescent="0.15">
      <c r="A240">
        <v>105385.14</v>
      </c>
      <c r="B240">
        <v>-2.5000000000000001E-2</v>
      </c>
      <c r="D240">
        <v>105385.14</v>
      </c>
      <c r="E240">
        <v>-2.5000000000000001E-2</v>
      </c>
    </row>
    <row r="241" spans="1:5" ht="24" customHeight="1" x14ac:dyDescent="0.15">
      <c r="A241">
        <v>105385.14</v>
      </c>
      <c r="B241">
        <v>-2.5000000000000001E-2</v>
      </c>
      <c r="D241">
        <v>105385.14</v>
      </c>
      <c r="E241">
        <v>-2.5000000000000001E-2</v>
      </c>
    </row>
    <row r="242" spans="1:5" ht="24" customHeight="1" x14ac:dyDescent="0.15">
      <c r="A242">
        <v>105407.09</v>
      </c>
      <c r="B242">
        <v>0</v>
      </c>
      <c r="D242">
        <v>105407.09</v>
      </c>
      <c r="E242">
        <v>-2.5000000000000001E-2</v>
      </c>
    </row>
    <row r="243" spans="1:5" ht="24" customHeight="1" x14ac:dyDescent="0.15">
      <c r="A243">
        <v>105449.25</v>
      </c>
      <c r="B243">
        <v>4.8000000000000001E-2</v>
      </c>
      <c r="D243">
        <v>105449.25</v>
      </c>
      <c r="E243">
        <v>-4.8000000000000001E-2</v>
      </c>
    </row>
    <row r="244" spans="1:5" ht="24" customHeight="1" x14ac:dyDescent="0.15">
      <c r="A244">
        <v>105578.09</v>
      </c>
      <c r="B244">
        <v>4.8000000000000001E-2</v>
      </c>
      <c r="D244">
        <v>105578.09</v>
      </c>
      <c r="E244">
        <v>-4.8000000000000001E-2</v>
      </c>
    </row>
    <row r="245" spans="1:5" ht="24" customHeight="1" x14ac:dyDescent="0.15">
      <c r="A245">
        <v>105620.25</v>
      </c>
      <c r="B245">
        <v>0</v>
      </c>
      <c r="D245">
        <v>105620.25</v>
      </c>
      <c r="E245">
        <v>-2.5000000000000001E-2</v>
      </c>
    </row>
    <row r="246" spans="1:5" ht="24" customHeight="1" x14ac:dyDescent="0.15">
      <c r="A246">
        <v>105642.21</v>
      </c>
      <c r="B246">
        <v>-2.5000000000000001E-2</v>
      </c>
      <c r="D246">
        <v>105642.21</v>
      </c>
      <c r="E246">
        <v>-2.5000000000000001E-2</v>
      </c>
    </row>
    <row r="247" spans="1:5" ht="24" customHeight="1" x14ac:dyDescent="0.15">
      <c r="A247">
        <v>105642.21</v>
      </c>
      <c r="B247">
        <v>-2.5000000000000001E-2</v>
      </c>
      <c r="D247">
        <v>105642.21</v>
      </c>
      <c r="E247">
        <v>-2.5000000000000001E-2</v>
      </c>
    </row>
    <row r="248" spans="1:5" ht="24" customHeight="1" x14ac:dyDescent="0.15">
      <c r="A248">
        <v>105656.27</v>
      </c>
      <c r="B248">
        <v>-2.5000000000000001E-2</v>
      </c>
      <c r="D248">
        <v>105656.27</v>
      </c>
      <c r="E248">
        <v>-2.5000000000000001E-2</v>
      </c>
    </row>
    <row r="249" spans="1:5" ht="24" customHeight="1" x14ac:dyDescent="0.15">
      <c r="A249">
        <v>105656.27</v>
      </c>
      <c r="B249">
        <v>-2.5000000000000001E-2</v>
      </c>
      <c r="D249">
        <v>105656.27</v>
      </c>
      <c r="E249">
        <v>-2.5000000000000001E-2</v>
      </c>
    </row>
    <row r="250" spans="1:5" ht="24" customHeight="1" x14ac:dyDescent="0.15">
      <c r="A250">
        <v>105678.23</v>
      </c>
      <c r="B250">
        <v>-2.5000000000000001E-2</v>
      </c>
      <c r="D250">
        <v>105678.23</v>
      </c>
      <c r="E250">
        <v>0</v>
      </c>
    </row>
    <row r="251" spans="1:5" ht="24" customHeight="1" x14ac:dyDescent="0.15">
      <c r="A251">
        <v>105720.39</v>
      </c>
      <c r="B251">
        <v>-4.8000000000000001E-2</v>
      </c>
      <c r="D251">
        <v>105720.39</v>
      </c>
      <c r="E251">
        <v>4.8000000000000001E-2</v>
      </c>
    </row>
    <row r="252" spans="1:5" ht="24" customHeight="1" x14ac:dyDescent="0.15">
      <c r="A252">
        <v>105776.37</v>
      </c>
      <c r="B252">
        <v>-4.8000000000000001E-2</v>
      </c>
      <c r="D252">
        <v>105776.37</v>
      </c>
      <c r="E252">
        <v>4.8000000000000001E-2</v>
      </c>
    </row>
    <row r="253" spans="1:5" ht="24" customHeight="1" x14ac:dyDescent="0.15">
      <c r="A253">
        <v>105818.53</v>
      </c>
      <c r="B253">
        <v>-2.5000000000000001E-2</v>
      </c>
      <c r="D253">
        <v>105818.53</v>
      </c>
      <c r="E253">
        <v>0</v>
      </c>
    </row>
    <row r="254" spans="1:5" ht="24" customHeight="1" x14ac:dyDescent="0.15">
      <c r="A254">
        <v>105840.48</v>
      </c>
      <c r="B254">
        <v>-2.5000000000000001E-2</v>
      </c>
      <c r="D254">
        <v>105840.48</v>
      </c>
      <c r="E254">
        <v>-2.5000000000000001E-2</v>
      </c>
    </row>
    <row r="255" spans="1:5" ht="24" customHeight="1" x14ac:dyDescent="0.15">
      <c r="A255">
        <v>105840.48</v>
      </c>
      <c r="B255">
        <v>-2.5000000000000001E-2</v>
      </c>
      <c r="D255">
        <v>105840.48</v>
      </c>
      <c r="E255">
        <v>-2.5000000000000001E-2</v>
      </c>
    </row>
    <row r="256" spans="1:5" ht="24" customHeight="1" x14ac:dyDescent="0.15">
      <c r="A256">
        <v>105828.19</v>
      </c>
      <c r="B256">
        <v>-2.5000000000000001E-2</v>
      </c>
      <c r="D256">
        <v>105828.19</v>
      </c>
      <c r="E256">
        <v>-2.5000000000000001E-2</v>
      </c>
    </row>
    <row r="257" spans="1:5" ht="24" customHeight="1" x14ac:dyDescent="0.15">
      <c r="A257">
        <v>105893.88</v>
      </c>
      <c r="B257">
        <v>-2.5000000000000001E-2</v>
      </c>
      <c r="D257">
        <v>105893.88</v>
      </c>
      <c r="E257">
        <v>-2.5000000000000001E-2</v>
      </c>
    </row>
    <row r="258" spans="1:5" ht="24" customHeight="1" x14ac:dyDescent="0.15">
      <c r="A258">
        <v>105927.19</v>
      </c>
      <c r="B258">
        <v>-2.5000000000000001E-2</v>
      </c>
      <c r="D258">
        <v>105927.19</v>
      </c>
      <c r="E258">
        <v>-2.5000000000000001E-2</v>
      </c>
    </row>
    <row r="259" spans="1:5" ht="24" customHeight="1" x14ac:dyDescent="0.15">
      <c r="A259">
        <v>105949.15</v>
      </c>
      <c r="B259">
        <v>0</v>
      </c>
      <c r="D259">
        <v>105949.15</v>
      </c>
      <c r="E259">
        <v>-2.5000000000000001E-2</v>
      </c>
    </row>
    <row r="260" spans="1:5" ht="24" customHeight="1" x14ac:dyDescent="0.15">
      <c r="A260">
        <v>105971.11</v>
      </c>
      <c r="B260">
        <v>2.5000000000000001E-2</v>
      </c>
      <c r="D260">
        <v>105971.11</v>
      </c>
      <c r="E260">
        <v>-2.5000000000000001E-2</v>
      </c>
    </row>
    <row r="261" spans="1:5" ht="24" customHeight="1" x14ac:dyDescent="0.15">
      <c r="A261">
        <v>105979.01</v>
      </c>
      <c r="B261">
        <v>3.4000000000000002E-2</v>
      </c>
      <c r="D261">
        <v>105979.01</v>
      </c>
      <c r="E261">
        <v>-3.4000000000000002E-2</v>
      </c>
    </row>
    <row r="262" spans="1:5" ht="24" customHeight="1" x14ac:dyDescent="0.15">
      <c r="A262">
        <v>106093.89</v>
      </c>
      <c r="B262">
        <v>3.4000000000000002E-2</v>
      </c>
      <c r="D262">
        <v>106093.89</v>
      </c>
      <c r="E262">
        <v>-3.4000000000000002E-2</v>
      </c>
    </row>
    <row r="263" spans="1:5" ht="24" customHeight="1" x14ac:dyDescent="0.15">
      <c r="A263">
        <v>106101.79</v>
      </c>
      <c r="B263">
        <v>2.5000000000000001E-2</v>
      </c>
      <c r="D263">
        <v>106101.79</v>
      </c>
      <c r="E263">
        <v>-2.5000000000000001E-2</v>
      </c>
    </row>
    <row r="264" spans="1:5" ht="24" customHeight="1" x14ac:dyDescent="0.15">
      <c r="A264">
        <v>106123.75</v>
      </c>
      <c r="B264">
        <v>0</v>
      </c>
      <c r="D264">
        <v>106123.75</v>
      </c>
      <c r="E264">
        <v>-2.5000000000000001E-2</v>
      </c>
    </row>
    <row r="265" spans="1:5" ht="24" customHeight="1" x14ac:dyDescent="0.15">
      <c r="A265">
        <v>106145.7</v>
      </c>
      <c r="B265">
        <v>-2.5000000000000001E-2</v>
      </c>
      <c r="D265">
        <v>106145.7</v>
      </c>
      <c r="E265">
        <v>-2.5000000000000001E-2</v>
      </c>
    </row>
    <row r="266" spans="1:5" ht="24" customHeight="1" x14ac:dyDescent="0.15">
      <c r="A266">
        <v>109836.11</v>
      </c>
      <c r="B266">
        <v>-2.5000000000000001E-2</v>
      </c>
      <c r="D266">
        <v>109836.11</v>
      </c>
      <c r="E266">
        <v>-2.5000000000000001E-2</v>
      </c>
    </row>
    <row r="267" spans="1:5" ht="24" customHeight="1" x14ac:dyDescent="0.15">
      <c r="A267">
        <v>109858.07</v>
      </c>
      <c r="B267">
        <v>-2.5000000000000001E-2</v>
      </c>
      <c r="D267">
        <v>109858.07</v>
      </c>
      <c r="E267">
        <v>0</v>
      </c>
    </row>
    <row r="268" spans="1:5" ht="24" customHeight="1" x14ac:dyDescent="0.15">
      <c r="A268">
        <v>109880.02</v>
      </c>
      <c r="B268">
        <v>-2.5000000000000001E-2</v>
      </c>
      <c r="D268">
        <v>109880.02</v>
      </c>
      <c r="E268">
        <v>2.5000000000000001E-2</v>
      </c>
    </row>
    <row r="269" spans="1:5" ht="24" customHeight="1" x14ac:dyDescent="0.15">
      <c r="A269">
        <v>109900.23</v>
      </c>
      <c r="B269">
        <v>-4.8000000000000001E-2</v>
      </c>
      <c r="D269">
        <v>109900.23</v>
      </c>
      <c r="E269">
        <v>4.8000000000000001E-2</v>
      </c>
    </row>
    <row r="270" spans="1:5" ht="24" customHeight="1" x14ac:dyDescent="0.15">
      <c r="A270">
        <v>109935.39</v>
      </c>
      <c r="B270">
        <v>-4.8000000000000001E-2</v>
      </c>
      <c r="D270">
        <v>109935.39</v>
      </c>
      <c r="E270">
        <v>4.8000000000000001E-2</v>
      </c>
    </row>
    <row r="271" spans="1:5" ht="24" customHeight="1" x14ac:dyDescent="0.15">
      <c r="A271">
        <v>109955.59</v>
      </c>
      <c r="B271">
        <v>-2.5000000000000001E-2</v>
      </c>
      <c r="D271">
        <v>109955.59</v>
      </c>
      <c r="E271">
        <v>2.5000000000000001E-2</v>
      </c>
    </row>
    <row r="272" spans="1:5" ht="24" customHeight="1" x14ac:dyDescent="0.15">
      <c r="A272">
        <v>109977.55</v>
      </c>
      <c r="B272">
        <v>-2.5000000000000001E-2</v>
      </c>
      <c r="D272">
        <v>109977.55</v>
      </c>
      <c r="E272">
        <v>0</v>
      </c>
    </row>
    <row r="273" spans="1:5" ht="24" customHeight="1" x14ac:dyDescent="0.15">
      <c r="A273">
        <v>109999.5</v>
      </c>
      <c r="B273">
        <v>-2.5000000000000001E-2</v>
      </c>
      <c r="D273">
        <v>109999.5</v>
      </c>
      <c r="E273">
        <v>-2.5000000000000001E-2</v>
      </c>
    </row>
    <row r="274" spans="1:5" ht="24" customHeight="1" x14ac:dyDescent="0.15">
      <c r="A274">
        <v>117273.1</v>
      </c>
      <c r="B274">
        <v>-2.5000000000000001E-2</v>
      </c>
      <c r="D274">
        <v>117273.1</v>
      </c>
      <c r="E274">
        <v>-2.5000000000000001E-2</v>
      </c>
    </row>
    <row r="275" spans="1:5" ht="24" customHeight="1" x14ac:dyDescent="0.15">
      <c r="A275">
        <v>117273.1</v>
      </c>
      <c r="B275">
        <v>-2.5000000000000001E-2</v>
      </c>
      <c r="D275">
        <v>117273.1</v>
      </c>
      <c r="E275">
        <v>-2.5000000000000001E-2</v>
      </c>
    </row>
    <row r="276" spans="1:5" ht="24" customHeight="1" x14ac:dyDescent="0.15">
      <c r="A276">
        <v>117295.06</v>
      </c>
      <c r="B276">
        <v>-2.5000000000000001E-2</v>
      </c>
      <c r="D276">
        <v>117295.06</v>
      </c>
      <c r="E276">
        <v>0</v>
      </c>
    </row>
    <row r="277" spans="1:5" ht="24" customHeight="1" x14ac:dyDescent="0.15">
      <c r="A277">
        <v>117317.02</v>
      </c>
      <c r="B277">
        <v>-2.5000000000000001E-2</v>
      </c>
      <c r="D277">
        <v>117317.02</v>
      </c>
      <c r="E277">
        <v>2.5000000000000001E-2</v>
      </c>
    </row>
    <row r="278" spans="1:5" ht="24" customHeight="1" x14ac:dyDescent="0.15">
      <c r="A278">
        <v>117724.52</v>
      </c>
      <c r="B278">
        <v>-2.5000000000000001E-2</v>
      </c>
      <c r="D278">
        <v>117724.52</v>
      </c>
      <c r="E278">
        <v>2.5000000000000001E-2</v>
      </c>
    </row>
    <row r="279" spans="1:5" ht="24" customHeight="1" x14ac:dyDescent="0.15">
      <c r="A279">
        <v>117746.48</v>
      </c>
      <c r="B279">
        <v>-2.5000000000000001E-2</v>
      </c>
      <c r="D279">
        <v>117746.48</v>
      </c>
      <c r="E279">
        <v>0</v>
      </c>
    </row>
    <row r="280" spans="1:5" ht="24" customHeight="1" x14ac:dyDescent="0.15">
      <c r="A280">
        <v>117768.44</v>
      </c>
      <c r="B280">
        <v>-2.5000000000000001E-2</v>
      </c>
      <c r="D280">
        <v>117768.44</v>
      </c>
      <c r="E280">
        <v>-2.5000000000000001E-2</v>
      </c>
    </row>
    <row r="281" spans="1:5" ht="24" customHeight="1" x14ac:dyDescent="0.15">
      <c r="A281">
        <v>117768.44</v>
      </c>
      <c r="B281">
        <v>-2.5000000000000001E-2</v>
      </c>
      <c r="D281">
        <v>117768.44</v>
      </c>
      <c r="E281">
        <v>-2.5000000000000001E-2</v>
      </c>
    </row>
    <row r="282" spans="1:5" ht="24" customHeight="1" x14ac:dyDescent="0.15">
      <c r="A282">
        <v>117886.95</v>
      </c>
      <c r="B282">
        <v>-2.5000000000000001E-2</v>
      </c>
      <c r="D282">
        <v>117886.95</v>
      </c>
      <c r="E282">
        <v>-2.5000000000000001E-2</v>
      </c>
    </row>
    <row r="283" spans="1:5" ht="24" customHeight="1" x14ac:dyDescent="0.15">
      <c r="A283">
        <v>117886.95</v>
      </c>
      <c r="B283">
        <v>-2.5000000000000001E-2</v>
      </c>
      <c r="D283">
        <v>117886.95</v>
      </c>
      <c r="E283">
        <v>-2.5000000000000001E-2</v>
      </c>
    </row>
    <row r="284" spans="1:5" ht="24" customHeight="1" x14ac:dyDescent="0.15">
      <c r="A284">
        <v>117908.91</v>
      </c>
      <c r="B284">
        <v>-2.5000000000000001E-2</v>
      </c>
      <c r="D284">
        <v>117908.91</v>
      </c>
      <c r="E284">
        <v>0</v>
      </c>
    </row>
    <row r="285" spans="1:5" ht="24" customHeight="1" x14ac:dyDescent="0.15">
      <c r="A285">
        <v>117930.87</v>
      </c>
      <c r="B285">
        <v>-2.5000000000000001E-2</v>
      </c>
      <c r="D285">
        <v>117930.87</v>
      </c>
      <c r="E285">
        <v>2.5000000000000001E-2</v>
      </c>
    </row>
    <row r="286" spans="1:5" ht="24" customHeight="1" x14ac:dyDescent="0.15">
      <c r="A286">
        <v>118281.76</v>
      </c>
      <c r="B286">
        <v>-2.5000000000000001E-2</v>
      </c>
      <c r="D286">
        <v>118281.76</v>
      </c>
      <c r="E286">
        <v>2.5000000000000001E-2</v>
      </c>
    </row>
    <row r="287" spans="1:5" ht="24" customHeight="1" x14ac:dyDescent="0.15">
      <c r="A287">
        <v>118303.72</v>
      </c>
      <c r="B287">
        <v>-2.5000000000000001E-2</v>
      </c>
      <c r="D287">
        <v>118303.72</v>
      </c>
      <c r="E287">
        <v>0</v>
      </c>
    </row>
    <row r="288" spans="1:5" ht="24" customHeight="1" x14ac:dyDescent="0.15">
      <c r="A288">
        <v>118325.68</v>
      </c>
      <c r="B288">
        <v>-2.5000000000000001E-2</v>
      </c>
      <c r="D288">
        <v>118325.68</v>
      </c>
      <c r="E288">
        <v>-2.5000000000000001E-2</v>
      </c>
    </row>
    <row r="289" spans="1:5" ht="24" customHeight="1" x14ac:dyDescent="0.15">
      <c r="A289">
        <v>118325.68</v>
      </c>
      <c r="B289">
        <v>-2.5000000000000001E-2</v>
      </c>
      <c r="D289">
        <v>118325.68</v>
      </c>
      <c r="E289">
        <v>-2.5000000000000001E-2</v>
      </c>
    </row>
    <row r="290" spans="1:5" ht="24" customHeight="1" x14ac:dyDescent="0.15">
      <c r="A290">
        <v>118427.02</v>
      </c>
      <c r="B290">
        <v>-2.5000000000000001E-2</v>
      </c>
      <c r="D290">
        <v>118427.02</v>
      </c>
      <c r="E290">
        <v>-2.5000000000000001E-2</v>
      </c>
    </row>
    <row r="291" spans="1:5" ht="24" customHeight="1" x14ac:dyDescent="0.15">
      <c r="A291">
        <v>118427.02</v>
      </c>
      <c r="B291">
        <v>-2.5000000000000001E-2</v>
      </c>
      <c r="D291">
        <v>118427.02</v>
      </c>
      <c r="E291">
        <v>-2.5000000000000001E-2</v>
      </c>
    </row>
    <row r="292" spans="1:5" ht="24" customHeight="1" x14ac:dyDescent="0.15">
      <c r="A292">
        <v>118448.98</v>
      </c>
      <c r="B292">
        <v>0</v>
      </c>
      <c r="D292">
        <v>118448.98</v>
      </c>
      <c r="E292">
        <v>-2.5000000000000001E-2</v>
      </c>
    </row>
    <row r="293" spans="1:5" ht="24" customHeight="1" x14ac:dyDescent="0.15">
      <c r="A293">
        <v>118500.8</v>
      </c>
      <c r="B293">
        <v>5.8999999999999997E-2</v>
      </c>
      <c r="D293">
        <v>118500.8</v>
      </c>
      <c r="E293">
        <v>-5.8999999999999997E-2</v>
      </c>
    </row>
    <row r="294" spans="1:5" ht="24" customHeight="1" x14ac:dyDescent="0.15">
      <c r="A294">
        <v>118573.35</v>
      </c>
      <c r="B294">
        <v>5.8999999999999997E-2</v>
      </c>
      <c r="D294">
        <v>118573.35</v>
      </c>
      <c r="E294">
        <v>-5.8999999999999997E-2</v>
      </c>
    </row>
    <row r="295" spans="1:5" ht="24" customHeight="1" x14ac:dyDescent="0.15">
      <c r="A295">
        <v>118646.6</v>
      </c>
      <c r="B295">
        <v>5.8999999999999997E-2</v>
      </c>
      <c r="D295">
        <v>118646.6</v>
      </c>
      <c r="E295">
        <v>-5.8999999999999997E-2</v>
      </c>
    </row>
    <row r="296" spans="1:5" ht="24" customHeight="1" x14ac:dyDescent="0.15">
      <c r="A296">
        <v>118650.97</v>
      </c>
      <c r="B296">
        <v>5.8999999999999997E-2</v>
      </c>
      <c r="D296">
        <v>118650.97</v>
      </c>
      <c r="E296">
        <v>-5.8999999999999997E-2</v>
      </c>
    </row>
    <row r="297" spans="1:5" ht="24" customHeight="1" x14ac:dyDescent="0.15">
      <c r="A297">
        <v>118702.79</v>
      </c>
      <c r="B297">
        <v>0</v>
      </c>
      <c r="D297">
        <v>118702.79</v>
      </c>
      <c r="E297">
        <v>-2.5000000000000001E-2</v>
      </c>
    </row>
    <row r="298" spans="1:5" ht="24" customHeight="1" x14ac:dyDescent="0.15">
      <c r="A298">
        <v>118724.75</v>
      </c>
      <c r="B298">
        <v>-2.5000000000000001E-2</v>
      </c>
      <c r="D298">
        <v>118724.75</v>
      </c>
      <c r="E298">
        <v>-2.5000000000000001E-2</v>
      </c>
    </row>
    <row r="299" spans="1:5" ht="24" customHeight="1" x14ac:dyDescent="0.15">
      <c r="A299">
        <v>118724.75</v>
      </c>
      <c r="B299">
        <v>-2.5000000000000001E-2</v>
      </c>
      <c r="D299">
        <v>118724.75</v>
      </c>
      <c r="E299">
        <v>-2.5000000000000001E-2</v>
      </c>
    </row>
    <row r="300" spans="1:5" ht="24" customHeight="1" x14ac:dyDescent="0.15">
      <c r="A300">
        <v>118731.11</v>
      </c>
      <c r="B300">
        <v>-2.5000000000000001E-2</v>
      </c>
      <c r="D300">
        <v>118731.11</v>
      </c>
      <c r="E300">
        <v>-0.02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R12"/>
  <sheetViews>
    <sheetView workbookViewId="0">
      <selection activeCell="I13" sqref="I13"/>
    </sheetView>
  </sheetViews>
  <sheetFormatPr defaultRowHeight="22.5" customHeight="1" x14ac:dyDescent="0.15"/>
  <cols>
    <col min="1" max="1" width="10.5" bestFit="1" customWidth="1"/>
    <col min="2" max="2" width="12.75" bestFit="1" customWidth="1"/>
    <col min="4" max="5" width="11.625" bestFit="1" customWidth="1"/>
    <col min="6" max="6" width="12.75" bestFit="1" customWidth="1"/>
    <col min="7" max="7" width="11.625" bestFit="1" customWidth="1"/>
    <col min="8" max="9" width="12.75" bestFit="1" customWidth="1"/>
    <col min="10" max="10" width="12.75" customWidth="1"/>
    <col min="11" max="12" width="13.875" bestFit="1" customWidth="1"/>
    <col min="13" max="14" width="11.625" bestFit="1" customWidth="1"/>
    <col min="15" max="16" width="12.75" bestFit="1" customWidth="1"/>
    <col min="17" max="17" width="13.875" bestFit="1" customWidth="1"/>
    <col min="18" max="18" width="12.75" bestFit="1" customWidth="1"/>
  </cols>
  <sheetData>
    <row r="1" spans="1:18" ht="22.5" customHeight="1" x14ac:dyDescent="0.15">
      <c r="A1" t="s">
        <v>0</v>
      </c>
      <c r="B1">
        <v>-3.4967345999999999</v>
      </c>
      <c r="D1" t="s">
        <v>1</v>
      </c>
      <c r="E1" t="s">
        <v>0</v>
      </c>
      <c r="F1" t="s">
        <v>2</v>
      </c>
      <c r="G1" t="s">
        <v>3</v>
      </c>
      <c r="H1" s="22" t="s">
        <v>8</v>
      </c>
      <c r="I1" s="22"/>
      <c r="J1" s="3"/>
      <c r="K1" s="23" t="s">
        <v>9</v>
      </c>
      <c r="L1" s="23"/>
      <c r="M1" s="1"/>
      <c r="N1" s="4"/>
      <c r="O1" s="2" t="s">
        <v>4</v>
      </c>
      <c r="P1" s="2" t="s">
        <v>5</v>
      </c>
      <c r="Q1" s="2" t="s">
        <v>6</v>
      </c>
      <c r="R1" s="2" t="s">
        <v>7</v>
      </c>
    </row>
    <row r="2" spans="1:18" ht="22.5" customHeight="1" x14ac:dyDescent="0.15">
      <c r="A2" t="s">
        <v>1</v>
      </c>
      <c r="B2">
        <v>32.4179739</v>
      </c>
      <c r="D2">
        <v>32.4179739</v>
      </c>
      <c r="E2">
        <v>-3.4967345999999999</v>
      </c>
      <c r="F2">
        <v>9613784.9550000001</v>
      </c>
      <c r="G2">
        <v>435273.15700000001</v>
      </c>
      <c r="H2">
        <f t="array" ref="H2:J2">_xll.map_proj("utm",D2,E2,360)</f>
        <v>9613480.9215515386</v>
      </c>
      <c r="I2">
        <v>435353.72576197702</v>
      </c>
      <c r="J2">
        <v>36</v>
      </c>
      <c r="K2">
        <f t="array" ref="K2:L2">_xll.map_unproj("utm",H2,I2,32.4,FALSE,36)</f>
        <v>32.417973900000355</v>
      </c>
      <c r="L2">
        <v>-3.4967345994682715</v>
      </c>
      <c r="M2" s="5">
        <f>K2-D2</f>
        <v>3.5527136788005009E-13</v>
      </c>
      <c r="N2" s="5">
        <f>L2-E2</f>
        <v>5.3172843905713307E-10</v>
      </c>
      <c r="O2">
        <f t="array" ref="O2:R2">_xll.map_4FourParameter_四参数(H2:I4,F2:G4)</f>
        <v>241.01529650017619</v>
      </c>
      <c r="P2">
        <v>103.39496408693958</v>
      </c>
      <c r="Q2">
        <v>-1.9358463120280955E-5</v>
      </c>
      <c r="R2">
        <v>1.000005736966024</v>
      </c>
    </row>
    <row r="3" spans="1:18" ht="22.5" customHeight="1" x14ac:dyDescent="0.15">
      <c r="A3" t="s">
        <v>2</v>
      </c>
      <c r="B3">
        <v>9613784.9550000001</v>
      </c>
      <c r="D3">
        <v>32.418131700000004</v>
      </c>
      <c r="E3">
        <v>-3.4986090999999999</v>
      </c>
      <c r="F3">
        <v>9613578.8819999993</v>
      </c>
      <c r="G3">
        <v>435291.53399999999</v>
      </c>
      <c r="H3">
        <f t="array" ref="H3:J3">_xll.map_proj("utm",D3,E3,360)</f>
        <v>9613273.7254178487</v>
      </c>
      <c r="I3">
        <v>435371.38176566869</v>
      </c>
      <c r="J3">
        <v>36</v>
      </c>
      <c r="K3">
        <f t="array" ref="K3:L3">_xll.map_unproj("utm",H3,I3,32.4,FALSE,36)</f>
        <v>32.418131700000352</v>
      </c>
      <c r="L3">
        <v>-3.4986090994680099</v>
      </c>
      <c r="M3" s="5">
        <f t="shared" ref="M3:M4" si="0">K3-D3</f>
        <v>3.4816594052244909E-13</v>
      </c>
      <c r="N3" s="5">
        <f t="shared" ref="N3:N4" si="1">L3-E3</f>
        <v>5.3199000760173476E-10</v>
      </c>
    </row>
    <row r="4" spans="1:18" ht="22.5" customHeight="1" x14ac:dyDescent="0.15">
      <c r="A4" t="s">
        <v>3</v>
      </c>
      <c r="B4">
        <v>435273.15700000001</v>
      </c>
      <c r="D4">
        <v>32.544740099999999</v>
      </c>
      <c r="E4">
        <v>-3.7910927999999999</v>
      </c>
      <c r="F4">
        <v>9581255.5999999996</v>
      </c>
      <c r="G4">
        <v>449371.054</v>
      </c>
      <c r="H4">
        <f t="array" ref="H4:J4">_xll.map_proj("utm",D4,E4,360)</f>
        <v>9580950.923992401</v>
      </c>
      <c r="I4">
        <v>449450.55512973183</v>
      </c>
      <c r="J4">
        <v>36</v>
      </c>
      <c r="K4">
        <f t="array" ref="K4:L4">_xll.map_unproj("utm",H4,I4,32.4,FALSE,36)</f>
        <v>32.544740100000304</v>
      </c>
      <c r="L4">
        <v>-3.7910927994269827</v>
      </c>
      <c r="M4" s="5">
        <f t="shared" si="0"/>
        <v>3.0553337637684308E-13</v>
      </c>
      <c r="N4" s="5">
        <f t="shared" si="1"/>
        <v>5.7301718925373279E-10</v>
      </c>
    </row>
    <row r="5" spans="1:18" ht="22.5" customHeight="1" x14ac:dyDescent="0.15">
      <c r="A5" t="s">
        <v>0</v>
      </c>
      <c r="B5">
        <v>-3.4986090999999999</v>
      </c>
    </row>
    <row r="6" spans="1:18" ht="22.5" customHeight="1" x14ac:dyDescent="0.15">
      <c r="A6" t="s">
        <v>1</v>
      </c>
      <c r="B6">
        <v>32.418131700000004</v>
      </c>
    </row>
    <row r="7" spans="1:18" ht="22.5" customHeight="1" x14ac:dyDescent="0.15">
      <c r="A7" t="s">
        <v>2</v>
      </c>
      <c r="B7">
        <v>9613578.8819999993</v>
      </c>
    </row>
    <row r="8" spans="1:18" ht="22.5" customHeight="1" x14ac:dyDescent="0.15">
      <c r="A8" t="s">
        <v>3</v>
      </c>
      <c r="B8">
        <v>435291.53399999999</v>
      </c>
    </row>
    <row r="9" spans="1:18" ht="22.5" customHeight="1" x14ac:dyDescent="0.15">
      <c r="A9" t="s">
        <v>0</v>
      </c>
      <c r="B9">
        <v>-3.7910927999999999</v>
      </c>
      <c r="F9" s="2">
        <f t="array" ref="F9:G9">_xll.map_gps2xy(D2,E2,"utm",$D$2:$E$4,$F$2:$G$4,360)</f>
        <v>9613785.5150875133</v>
      </c>
      <c r="G9" s="2">
        <v>435273.51497049438</v>
      </c>
      <c r="H9">
        <f>F9-F2</f>
        <v>0.56008751317858696</v>
      </c>
      <c r="I9">
        <f>G9-G2</f>
        <v>0.35797049436951056</v>
      </c>
    </row>
    <row r="10" spans="1:18" ht="22.5" customHeight="1" x14ac:dyDescent="0.15">
      <c r="A10" t="s">
        <v>1</v>
      </c>
      <c r="B10">
        <v>32.544740099999999</v>
      </c>
      <c r="F10" s="2">
        <f t="array" ref="F10:G10">_xll.map_gps2xy(D3,E3,"utm",$D$2:$E$4,$F$2:$G$4,360)</f>
        <v>9613578.318106981</v>
      </c>
      <c r="G10" s="2">
        <v>435291.1750864964</v>
      </c>
      <c r="H10">
        <f t="shared" ref="H10:I10" si="2">F10-F3</f>
        <v>-0.56389301829040051</v>
      </c>
      <c r="I10">
        <f t="shared" si="2"/>
        <v>-0.35891350358724594</v>
      </c>
    </row>
    <row r="11" spans="1:18" ht="22.5" customHeight="1" x14ac:dyDescent="0.15">
      <c r="A11" t="s">
        <v>2</v>
      </c>
      <c r="B11">
        <v>9581255.5999999996</v>
      </c>
      <c r="F11" s="2">
        <f t="array" ref="F11:G11">_xll.map_gps2xy(D4,E4,"utm",$D$2:$E$4,$F$2:$G$4,360)</f>
        <v>9581255.6038054992</v>
      </c>
      <c r="G11" s="2">
        <v>449371.05494300969</v>
      </c>
      <c r="H11">
        <f t="shared" ref="H11:I11" si="3">F11-F4</f>
        <v>3.8054995238780975E-3</v>
      </c>
      <c r="I11">
        <f t="shared" si="3"/>
        <v>9.4300968339666724E-4</v>
      </c>
    </row>
    <row r="12" spans="1:18" ht="22.5" customHeight="1" x14ac:dyDescent="0.15">
      <c r="A12" t="s">
        <v>3</v>
      </c>
      <c r="B12">
        <v>449371.054</v>
      </c>
    </row>
  </sheetData>
  <mergeCells count="2">
    <mergeCell ref="H1:I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N42"/>
  <sheetViews>
    <sheetView workbookViewId="0">
      <selection activeCell="M6" sqref="M6"/>
    </sheetView>
  </sheetViews>
  <sheetFormatPr defaultRowHeight="19.5" customHeight="1" x14ac:dyDescent="0.15"/>
  <cols>
    <col min="3" max="3" width="10.5" bestFit="1" customWidth="1"/>
    <col min="4" max="4" width="9.5" bestFit="1" customWidth="1"/>
    <col min="5" max="5" width="18.375" bestFit="1" customWidth="1"/>
    <col min="6" max="6" width="8.5" customWidth="1"/>
    <col min="8" max="8" width="9.5" bestFit="1" customWidth="1"/>
    <col min="9" max="9" width="8.5" bestFit="1" customWidth="1"/>
    <col min="10" max="11" width="8.5" customWidth="1"/>
    <col min="13" max="13" width="9.5" bestFit="1" customWidth="1"/>
    <col min="14" max="14" width="10.5" bestFit="1" customWidth="1"/>
  </cols>
  <sheetData>
    <row r="1" spans="1:14" ht="19.5" customHeight="1" x14ac:dyDescent="0.15">
      <c r="A1" t="s">
        <v>10</v>
      </c>
    </row>
    <row r="4" spans="1:14" ht="19.5" customHeight="1" x14ac:dyDescent="0.15">
      <c r="C4" s="24" t="s">
        <v>13</v>
      </c>
      <c r="D4" s="24"/>
      <c r="E4" s="24"/>
      <c r="F4" s="24"/>
      <c r="G4" s="24"/>
      <c r="H4" s="24"/>
      <c r="I4" s="24"/>
    </row>
    <row r="5" spans="1:14" ht="19.5" customHeight="1" x14ac:dyDescent="0.15">
      <c r="C5" s="19" t="s">
        <v>11</v>
      </c>
      <c r="D5" s="19"/>
      <c r="E5" s="2"/>
      <c r="F5" s="2"/>
      <c r="H5" s="19" t="s">
        <v>12</v>
      </c>
      <c r="I5" s="19"/>
      <c r="J5" s="2"/>
      <c r="K5" s="2"/>
    </row>
    <row r="6" spans="1:14" ht="19.5" customHeight="1" x14ac:dyDescent="0.15">
      <c r="C6">
        <v>2020.087</v>
      </c>
      <c r="D6">
        <v>838.17899999999997</v>
      </c>
      <c r="E6" t="str">
        <f>C6&amp;","&amp;D6</f>
        <v>2020.087,838.179</v>
      </c>
      <c r="H6">
        <v>1989.904</v>
      </c>
      <c r="I6">
        <v>840.40099999999995</v>
      </c>
      <c r="M6">
        <f t="array" ref="M6:N6">_xll.hdm_CutAndFill(C6:C20,D6:D20,H6:H15,I6:I15,1)</f>
        <v>276.38979999999998</v>
      </c>
      <c r="N6">
        <v>1250.7851000000001</v>
      </c>
    </row>
    <row r="7" spans="1:14" ht="19.5" customHeight="1" x14ac:dyDescent="0.15">
      <c r="C7">
        <v>2028.8240000000001</v>
      </c>
      <c r="D7">
        <v>843.04200000000003</v>
      </c>
      <c r="E7" t="str">
        <f t="shared" ref="E7:E20" si="0">C7&amp;","&amp;D7</f>
        <v>2028.824,843.042</v>
      </c>
      <c r="H7">
        <v>2045.952</v>
      </c>
      <c r="I7">
        <v>839.36099999999999</v>
      </c>
    </row>
    <row r="8" spans="1:14" ht="19.5" customHeight="1" x14ac:dyDescent="0.15">
      <c r="C8">
        <v>2032.57</v>
      </c>
      <c r="D8">
        <v>842.99</v>
      </c>
      <c r="E8" t="str">
        <f t="shared" si="0"/>
        <v>2032.57,842.99</v>
      </c>
      <c r="H8">
        <v>2068.4490000000001</v>
      </c>
      <c r="I8">
        <v>855.08399999999995</v>
      </c>
    </row>
    <row r="9" spans="1:14" ht="19.5" customHeight="1" x14ac:dyDescent="0.15">
      <c r="C9">
        <v>2038.521</v>
      </c>
      <c r="D9">
        <v>849.13499999999999</v>
      </c>
      <c r="E9" t="str">
        <f t="shared" si="0"/>
        <v>2038.521,849.135</v>
      </c>
      <c r="H9">
        <v>2078.982</v>
      </c>
      <c r="I9">
        <v>853.005</v>
      </c>
    </row>
    <row r="10" spans="1:14" ht="19.5" customHeight="1" x14ac:dyDescent="0.15">
      <c r="C10">
        <v>2064.5</v>
      </c>
      <c r="D10">
        <v>849.07500000000005</v>
      </c>
      <c r="E10" t="str">
        <f t="shared" si="0"/>
        <v>2064.5,849.075</v>
      </c>
      <c r="H10">
        <v>2076.6419999999998</v>
      </c>
      <c r="I10">
        <v>838.452</v>
      </c>
    </row>
    <row r="11" spans="1:14" ht="19.5" customHeight="1" x14ac:dyDescent="0.15">
      <c r="C11">
        <v>2092.1329999999998</v>
      </c>
      <c r="D11">
        <v>846.64599999999996</v>
      </c>
      <c r="E11" t="str">
        <f t="shared" si="0"/>
        <v>2092.133,846.646</v>
      </c>
      <c r="H11">
        <v>2085.7449999999999</v>
      </c>
      <c r="I11">
        <v>839.23099999999999</v>
      </c>
    </row>
    <row r="12" spans="1:14" ht="19.5" customHeight="1" x14ac:dyDescent="0.15">
      <c r="C12">
        <v>2092.1329999999998</v>
      </c>
      <c r="D12">
        <v>840.89400000000001</v>
      </c>
      <c r="E12" t="str">
        <f t="shared" si="0"/>
        <v>2092.133,840.894</v>
      </c>
      <c r="H12">
        <v>2087.0450000000001</v>
      </c>
      <c r="I12">
        <v>854.43399999999997</v>
      </c>
    </row>
    <row r="13" spans="1:14" ht="19.5" customHeight="1" x14ac:dyDescent="0.15">
      <c r="C13">
        <v>2096.866</v>
      </c>
      <c r="D13">
        <v>840.89400000000001</v>
      </c>
      <c r="E13" t="str">
        <f t="shared" si="0"/>
        <v>2096.866,840.894</v>
      </c>
      <c r="H13">
        <v>2111.7510000000002</v>
      </c>
      <c r="I13">
        <v>891.56200000000001</v>
      </c>
    </row>
    <row r="14" spans="1:14" ht="19.5" customHeight="1" x14ac:dyDescent="0.15">
      <c r="C14">
        <v>2096.866</v>
      </c>
      <c r="D14">
        <v>845.75099999999998</v>
      </c>
      <c r="E14" t="str">
        <f t="shared" si="0"/>
        <v>2096.866,845.751</v>
      </c>
      <c r="H14">
        <v>2140.1460000000002</v>
      </c>
      <c r="I14">
        <v>901.15899999999999</v>
      </c>
    </row>
    <row r="15" spans="1:14" ht="19.5" customHeight="1" x14ac:dyDescent="0.15">
      <c r="C15">
        <v>2101.2159999999999</v>
      </c>
      <c r="D15">
        <v>845.75099999999998</v>
      </c>
      <c r="E15" t="str">
        <f t="shared" si="0"/>
        <v>2101.216,845.751</v>
      </c>
      <c r="H15">
        <v>2183.5729999999999</v>
      </c>
      <c r="I15">
        <v>892.60599999999999</v>
      </c>
    </row>
    <row r="16" spans="1:14" ht="19.5" customHeight="1" x14ac:dyDescent="0.15">
      <c r="C16">
        <v>2111.7060000000001</v>
      </c>
      <c r="D16">
        <v>866.33100000000002</v>
      </c>
      <c r="E16" t="str">
        <f t="shared" si="0"/>
        <v>2111.706,866.331</v>
      </c>
    </row>
    <row r="17" spans="3:14" ht="19.5" customHeight="1" x14ac:dyDescent="0.15">
      <c r="C17">
        <v>2120.3510000000001</v>
      </c>
      <c r="D17">
        <v>867.60699999999997</v>
      </c>
      <c r="E17" t="str">
        <f t="shared" si="0"/>
        <v>2120.351,867.607</v>
      </c>
    </row>
    <row r="18" spans="3:14" ht="19.5" customHeight="1" x14ac:dyDescent="0.15">
      <c r="C18">
        <v>2129.34</v>
      </c>
      <c r="D18">
        <v>887.23800000000006</v>
      </c>
      <c r="E18" t="str">
        <f t="shared" si="0"/>
        <v>2129.34,887.238</v>
      </c>
    </row>
    <row r="19" spans="3:14" ht="19.5" customHeight="1" x14ac:dyDescent="0.15">
      <c r="C19">
        <v>2138.1999999999998</v>
      </c>
      <c r="D19">
        <v>886.34</v>
      </c>
      <c r="E19" t="str">
        <f t="shared" si="0"/>
        <v>2138.2,886.34</v>
      </c>
    </row>
    <row r="20" spans="3:14" ht="19.5" customHeight="1" x14ac:dyDescent="0.15">
      <c r="C20">
        <v>2160.3049999999998</v>
      </c>
      <c r="D20">
        <v>912.53399999999999</v>
      </c>
      <c r="E20" t="str">
        <f t="shared" si="0"/>
        <v>2160.305,912.534</v>
      </c>
    </row>
    <row r="28" spans="3:14" ht="19.5" customHeight="1" x14ac:dyDescent="0.15">
      <c r="C28">
        <v>2024.5171</v>
      </c>
      <c r="D28">
        <v>840.64480000000003</v>
      </c>
      <c r="E28" t="str">
        <f t="shared" ref="E28:E42" si="1">C28&amp;","&amp;D28</f>
        <v>2024.5171,840.6448</v>
      </c>
      <c r="H28">
        <v>1989.904</v>
      </c>
      <c r="I28">
        <v>840.40099999999995</v>
      </c>
      <c r="M28">
        <f t="array" ref="M28:N28">_xll.hdm_CutAndFill(C28:C42,D28:D42,H28:H37,I28:I37,10)</f>
        <v>276.38990000000001</v>
      </c>
      <c r="N28">
        <v>1250.7852</v>
      </c>
    </row>
    <row r="29" spans="3:14" ht="19.5" customHeight="1" x14ac:dyDescent="0.15">
      <c r="C29">
        <v>2028.8240000000001</v>
      </c>
      <c r="D29">
        <v>843.04200000000003</v>
      </c>
      <c r="E29" t="str">
        <f t="shared" si="1"/>
        <v>2028.824,843.042</v>
      </c>
      <c r="H29">
        <v>2045.952</v>
      </c>
      <c r="I29">
        <v>839.36099999999999</v>
      </c>
    </row>
    <row r="30" spans="3:14" ht="19.5" customHeight="1" x14ac:dyDescent="0.15">
      <c r="C30">
        <v>2032.57</v>
      </c>
      <c r="D30">
        <v>842.99</v>
      </c>
      <c r="E30" t="str">
        <f t="shared" si="1"/>
        <v>2032.57,842.99</v>
      </c>
      <c r="H30">
        <v>2068.4490000000001</v>
      </c>
      <c r="I30">
        <v>855.08399999999995</v>
      </c>
    </row>
    <row r="31" spans="3:14" ht="19.5" customHeight="1" x14ac:dyDescent="0.15">
      <c r="C31">
        <v>2038.521</v>
      </c>
      <c r="D31">
        <v>849.13499999999999</v>
      </c>
      <c r="E31" t="str">
        <f t="shared" si="1"/>
        <v>2038.521,849.135</v>
      </c>
      <c r="H31">
        <v>2078.982</v>
      </c>
      <c r="I31">
        <v>853.005</v>
      </c>
    </row>
    <row r="32" spans="3:14" ht="19.5" customHeight="1" x14ac:dyDescent="0.15">
      <c r="C32">
        <v>2064.5</v>
      </c>
      <c r="D32">
        <v>849.07500000000005</v>
      </c>
      <c r="E32" t="str">
        <f t="shared" si="1"/>
        <v>2064.5,849.075</v>
      </c>
      <c r="H32">
        <v>2076.6419999999998</v>
      </c>
      <c r="I32">
        <v>838.452</v>
      </c>
    </row>
    <row r="33" spans="3:9" ht="19.5" customHeight="1" x14ac:dyDescent="0.15">
      <c r="C33">
        <v>2092.1329999999998</v>
      </c>
      <c r="D33">
        <v>846.64599999999996</v>
      </c>
      <c r="E33" t="str">
        <f t="shared" si="1"/>
        <v>2092.133,846.646</v>
      </c>
      <c r="H33">
        <v>2085.7449999999999</v>
      </c>
      <c r="I33">
        <v>839.23099999999999</v>
      </c>
    </row>
    <row r="34" spans="3:9" ht="19.5" customHeight="1" x14ac:dyDescent="0.15">
      <c r="C34">
        <v>2092.1329999999998</v>
      </c>
      <c r="D34">
        <v>840.89400000000001</v>
      </c>
      <c r="E34" t="str">
        <f t="shared" si="1"/>
        <v>2092.133,840.894</v>
      </c>
      <c r="H34">
        <v>2087.0450000000001</v>
      </c>
      <c r="I34">
        <v>854.43399999999997</v>
      </c>
    </row>
    <row r="35" spans="3:9" ht="19.5" customHeight="1" x14ac:dyDescent="0.15">
      <c r="C35">
        <v>2096.866</v>
      </c>
      <c r="D35">
        <v>840.89400000000001</v>
      </c>
      <c r="E35" t="str">
        <f t="shared" si="1"/>
        <v>2096.866,840.894</v>
      </c>
      <c r="H35">
        <v>2111.7510000000002</v>
      </c>
      <c r="I35">
        <v>891.56200000000001</v>
      </c>
    </row>
    <row r="36" spans="3:9" ht="19.5" customHeight="1" x14ac:dyDescent="0.15">
      <c r="C36">
        <v>2096.866</v>
      </c>
      <c r="D36">
        <v>845.75099999999998</v>
      </c>
      <c r="E36" t="str">
        <f t="shared" si="1"/>
        <v>2096.866,845.751</v>
      </c>
      <c r="H36">
        <v>2140.1460000000002</v>
      </c>
      <c r="I36">
        <v>901.15899999999999</v>
      </c>
    </row>
    <row r="37" spans="3:9" ht="19.5" customHeight="1" x14ac:dyDescent="0.15">
      <c r="C37">
        <v>2101.2159999999999</v>
      </c>
      <c r="D37">
        <v>845.75099999999998</v>
      </c>
      <c r="E37" t="str">
        <f t="shared" si="1"/>
        <v>2101.216,845.751</v>
      </c>
      <c r="H37">
        <v>2183.5729999999999</v>
      </c>
      <c r="I37">
        <v>892.60599999999999</v>
      </c>
    </row>
    <row r="38" spans="3:9" ht="19.5" customHeight="1" x14ac:dyDescent="0.15">
      <c r="C38">
        <v>2111.7060000000001</v>
      </c>
      <c r="D38">
        <v>866.33100000000002</v>
      </c>
      <c r="E38" t="str">
        <f t="shared" si="1"/>
        <v>2111.706,866.331</v>
      </c>
    </row>
    <row r="39" spans="3:9" ht="19.5" customHeight="1" x14ac:dyDescent="0.15">
      <c r="C39">
        <v>2120.3510000000001</v>
      </c>
      <c r="D39">
        <v>867.60699999999997</v>
      </c>
      <c r="E39" t="str">
        <f t="shared" si="1"/>
        <v>2120.351,867.607</v>
      </c>
    </row>
    <row r="40" spans="3:9" ht="19.5" customHeight="1" x14ac:dyDescent="0.15">
      <c r="C40">
        <v>2129.34</v>
      </c>
      <c r="D40">
        <v>887.23800000000006</v>
      </c>
      <c r="E40" t="str">
        <f t="shared" si="1"/>
        <v>2129.34,887.238</v>
      </c>
    </row>
    <row r="41" spans="3:9" ht="19.5" customHeight="1" x14ac:dyDescent="0.15">
      <c r="C41">
        <v>2138.1999999999998</v>
      </c>
      <c r="D41">
        <v>886.34</v>
      </c>
      <c r="E41" t="str">
        <f t="shared" si="1"/>
        <v>2138.2,886.34</v>
      </c>
    </row>
    <row r="42" spans="3:9" ht="19.5" customHeight="1" x14ac:dyDescent="0.15">
      <c r="C42">
        <v>2145.3910999999998</v>
      </c>
      <c r="D42">
        <v>894.86130000000003</v>
      </c>
      <c r="E42" t="str">
        <f t="shared" si="1"/>
        <v>2145.3911,894.8613</v>
      </c>
    </row>
  </sheetData>
  <mergeCells count="3">
    <mergeCell ref="C5:D5"/>
    <mergeCell ref="H5:I5"/>
    <mergeCell ref="C4:I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平面</vt:lpstr>
      <vt:lpstr>竖曲线</vt:lpstr>
      <vt:lpstr>横坡</vt:lpstr>
      <vt:lpstr>四参数计算</vt:lpstr>
      <vt:lpstr>填挖面积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2025-11-08T14:47:06Z</dcterms:created>
  <dcterms:modified xsi:type="dcterms:W3CDTF">2025-11-15T07:09:10Z</dcterms:modified>
</cp:coreProperties>
</file>